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USHJI\Documents\Harshita\Shekhawati Impex\"/>
    </mc:Choice>
  </mc:AlternateContent>
  <xr:revisionPtr revIDLastSave="0" documentId="13_ncr:1_{234EFFDC-97C7-4E94-A6DF-F767B211414C}" xr6:coauthVersionLast="47" xr6:coauthVersionMax="47" xr10:uidLastSave="{00000000-0000-0000-0000-000000000000}"/>
  <bookViews>
    <workbookView xWindow="-108" yWindow="-108" windowWidth="23256" windowHeight="12456" tabRatio="873" activeTab="7" xr2:uid="{00000000-000D-0000-FFFF-FFFF00000000}"/>
  </bookViews>
  <sheets>
    <sheet name="READ ME" sheetId="1" r:id="rId1"/>
    <sheet name="Master Lists" sheetId="2" r:id="rId2"/>
    <sheet name="Buyer Master" sheetId="3" r:id="rId3"/>
    <sheet name="Vendor Master" sheetId="4" r:id="rId4"/>
    <sheet name="Style Master" sheetId="5" r:id="rId5"/>
    <sheet name="Employee Master" sheetId="6" r:id="rId6"/>
    <sheet name="Order" sheetId="7" r:id="rId7"/>
    <sheet name="Planning_" sheetId="8" r:id="rId8"/>
    <sheet name="Planning" sheetId="9" r:id="rId9"/>
    <sheet name="Vendor Quotation-Approval" sheetId="10" r:id="rId10"/>
    <sheet name="PO" sheetId="11" r:id="rId11"/>
    <sheet name="Gate Pass" sheetId="12" r:id="rId12"/>
    <sheet name="GRN" sheetId="13" r:id="rId13"/>
    <sheet name="Fabric Issue" sheetId="14" r:id="rId14"/>
    <sheet name="Dye issue" sheetId="15" r:id="rId15"/>
    <sheet name="Dyeing Receipt" sheetId="16" state="hidden" r:id="rId16"/>
    <sheet name="Fabric Scrutiny Report" sheetId="17" state="hidden" r:id="rId17"/>
    <sheet name="Printing" sheetId="18" r:id="rId18"/>
    <sheet name="Cutting Plan Approval" sheetId="19" r:id="rId19"/>
    <sheet name="Cutting Issue" sheetId="20" r:id="rId20"/>
    <sheet name="Stiching Record" sheetId="21" r:id="rId21"/>
    <sheet name="Hourly Monitoring" sheetId="22" r:id="rId22"/>
    <sheet name="QC Size" sheetId="23" r:id="rId23"/>
    <sheet name="QC Defects" sheetId="24" r:id="rId24"/>
    <sheet name="Internal Quality Check" sheetId="25" r:id="rId25"/>
    <sheet name="Final Checker Report" sheetId="26" r:id="rId26"/>
    <sheet name="Finished Checker" sheetId="27" r:id="rId27"/>
    <sheet name="External Secondary Checking" sheetId="28" r:id="rId28"/>
    <sheet name="Alter Report" sheetId="29" r:id="rId29"/>
    <sheet name="Spot Rectification-Scrap" sheetId="30" r:id="rId30"/>
    <sheet name="Rejected" sheetId="31" r:id="rId31"/>
    <sheet name="Packing" sheetId="32" r:id="rId32"/>
    <sheet name="Needle Checking" sheetId="33" r:id="rId33"/>
    <sheet name="Dispatch" sheetId="34" r:id="rId34"/>
    <sheet name="Reconciliation Report" sheetId="35" r:id="rId35"/>
  </sheets>
  <definedNames>
    <definedName name="L_AccessoriesItem">OFFSET('Master Lists'!$G$5,0,0,COUNTA('Master Lists'!$G$5:$G$500),1)</definedName>
    <definedName name="L_AuthorisedBy">OFFSET('Master Lists'!$AD$5,0,0,COUNTA('Master Lists'!$AD$5:$AD$500),1)</definedName>
    <definedName name="L_ColorCode">OFFSET('Master Lists'!$H$5,0,0,COUNTA('Master Lists'!$H$5:$H$500),1)</definedName>
    <definedName name="L_Construction">OFFSET('Master Lists'!$L$5,0,0,COUNTA('Master Lists'!$L$5:$L$500),1)</definedName>
    <definedName name="L_ContainerNo">OFFSET('Master Lists'!$Q$5,0,0,COUNTA('Master Lists'!$Q$5:$Q$500),1)</definedName>
    <definedName name="L_Count">OFFSET('Master Lists'!$K$5,0,0,COUNTA('Master Lists'!$K$5:$K$500),1)</definedName>
    <definedName name="L_Country">OFFSET('Master Lists'!$A$5,0,0,COUNTA('Master Lists'!$A$5:$A$500),1)</definedName>
    <definedName name="L_Currency">OFFSET('Master Lists'!$B$5,0,0,COUNTA('Master Lists'!$B$5:$B$500),1)</definedName>
    <definedName name="L_Decision">OFFSET('Master Lists'!$AF$5,0,0,COUNTA('Master Lists'!$AF$5:$AF$500),1)</definedName>
    <definedName name="L_DefectType">OFFSET('Master Lists'!$V$5,0,0,COUNTA('Master Lists'!$V$5:$V$500),1)</definedName>
    <definedName name="L_Department">OFFSET('Master Lists'!$N$5,0,0,COUNTA('Master Lists'!$N$5:$N$500),1)</definedName>
    <definedName name="L_Designation">OFFSET('Master Lists'!$O$5,0,0,COUNTA('Master Lists'!$O$5:$O$500),1)</definedName>
    <definedName name="L_FabricContent">OFFSET('Master Lists'!$I$5,0,0,COUNTA('Master Lists'!$I$5:$I$500),1)</definedName>
    <definedName name="L_FabricStage">OFFSET('Master Lists'!$U$5,0,0,COUNTA('Master Lists'!$U$5:$U$500),1)</definedName>
    <definedName name="L_FabricSubCat">OFFSET('Master Lists'!$F$5,0,0,COUNTA('Master Lists'!$F$5:$F$500),1)</definedName>
    <definedName name="L_GatePassType">OFFSET('Master Lists'!$AE$5,0,0,COUNTA('Master Lists'!$AE$5:$AE$500),1)</definedName>
    <definedName name="L_GRNPurpose">OFFSET('Master Lists'!$T$5,0,0,COUNTA('Master Lists'!$T$5:$T$500),1)</definedName>
    <definedName name="L_GSM">OFFSET('Master Lists'!$J$5,0,0,COUNTA('Master Lists'!$J$5:$J$500),1)</definedName>
    <definedName name="L_InformTo">OFFSET('Master Lists'!$AI$5,0,0,COUNTA('Master Lists'!$AI$5:$AI$500),1)</definedName>
    <definedName name="L_ItemCategory">OFFSET('Master Lists'!$E$5,0,0,COUNTA('Master Lists'!$E$5:$E$500),1)</definedName>
    <definedName name="L_Operation">OFFSET('Master Lists'!$AC$5,0,0,COUNTA('Master Lists'!$AC$5:$AC$500),1)</definedName>
    <definedName name="L_PaymentTerms">OFFSET('Master Lists'!$AK$5,0,0,COUNTA('Master Lists'!$AK$5:$AK$500),1)</definedName>
    <definedName name="L_PlanDept">OFFSET('Master Lists'!$AP$5,0,0,COUNTA('Master Lists'!$AP$5:$AP$500),1)</definedName>
    <definedName name="L_Process">OFFSET('Master Lists'!$R$5,0,0,COUNTA('Master Lists'!$R$5:$R$500),1)</definedName>
    <definedName name="L_Purpose">OFFSET('Master Lists'!$S$5,0,0,COUNTA('Master Lists'!$S$5:$S$500),1)</definedName>
    <definedName name="L_RejectReason">OFFSET('Master Lists'!$AJ$5,0,0,COUNTA('Master Lists'!$AJ$5:$AJ$500),1)</definedName>
    <definedName name="L_SentFor">OFFSET('Master Lists'!$AL$5,0,0,COUNTA('Master Lists'!$AL$5:$AL$500),1)</definedName>
    <definedName name="L_ShipMode">OFFSET('Master Lists'!$C$5,0,0,COUNTA('Master Lists'!$C$5:$C$500),1)</definedName>
    <definedName name="L_SizeGroup">OFFSET('Master Lists'!$M$5,0,0,COUNTA('Master Lists'!$M$5:$M$500),1)</definedName>
    <definedName name="L_StatusActive">OFFSET('Master Lists'!$Y$5,0,0,COUNTA('Master Lists'!$Y$5:$Y$500),1)</definedName>
    <definedName name="L_StatusApproval">OFFSET('Master Lists'!$X$5,0,0,COUNTA('Master Lists'!$X$5:$X$500),1)</definedName>
    <definedName name="L_StatusDispatch">OFFSET('Master Lists'!$AG$5,0,0,COUNTA('Master Lists'!$AG$5:$AG$500),1)</definedName>
    <definedName name="L_StatusDyeRecv">OFFSET('Master Lists'!$AO$5,0,0,COUNTA('Master Lists'!$AO$5:$AO$500),1)</definedName>
    <definedName name="L_StatusGatePass">OFFSET('Master Lists'!$AN$5,0,0,COUNTA('Master Lists'!$AN$5:$AN$500),1)</definedName>
    <definedName name="L_StatusGeneral">OFFSET('Master Lists'!$W$5,0,0,COUNTA('Master Lists'!$W$5:$W$500),1)</definedName>
    <definedName name="L_StatusQC">OFFSET('Master Lists'!$Z$5,0,0,COUNTA('Master Lists'!$Z$5:$Z$500),1)</definedName>
    <definedName name="L_StatusRecon">OFFSET('Master Lists'!$AH$5,0,0,COUNTA('Master Lists'!$AH$5:$AH$500),1)</definedName>
    <definedName name="L_StitchingUnit">OFFSET('Master Lists'!$P$5,0,0,COUNTA('Master Lists'!$P$5:$P$500),1)</definedName>
    <definedName name="L_StyleCategory">OFFSET('Master Lists'!$AB$5,0,0,COUNTA('Master Lists'!$AB$5:$AB$500),1)</definedName>
    <definedName name="L_UOM">OFFSET('Master Lists'!$D$5,0,0,COUNTA('Master Lists'!$D$5:$D$500),1)</definedName>
    <definedName name="L_VendorCategory">OFFSET('Master Lists'!$AA$5,0,0,COUNTA('Master Lists'!$AA$5:$AA$500),1)</definedName>
    <definedName name="L_YesNo">OFFSET('Master Lists'!$AM$5,0,0,COUNTA('Master Lists'!$AM$5:$AM$500),1)</definedName>
    <definedName name="M_BuyerCode">OFFSET('Buyer Master'!$A$7,0,0,COUNTA('Buyer Master'!$A$7:$A$500),1)</definedName>
    <definedName name="M_BuyerName">OFFSET('Buyer Master'!$B$7,0,0,COUNTA('Buyer Master'!$B$7:$B$500),1)</definedName>
    <definedName name="M_ChallanNo">OFFSET('Cutting Issue'!$B$7,0,0,COUNTA('Cutting Issue'!$B$7:$B$500),1)</definedName>
    <definedName name="M_EmpID">OFFSET('Employee Master'!$A$7,0,0,COUNTA('Employee Master'!$A$7:$A$500),1)</definedName>
    <definedName name="M_EmpName">OFFSET('Employee Master'!$B$7,0,0,COUNTA('Employee Master'!$B$7:$B$500),1)</definedName>
    <definedName name="M_FabricNo">OFFSET('Fabric Issue'!$B$7,0,0,COUNTA('Fabric Issue'!$B$7:$B$500),1)</definedName>
    <definedName name="M_OrderNo">OFFSET(Order!$A$7,0,0,COUNTA(Order!$A$7:$A$500),1)</definedName>
    <definedName name="M_POID">OFFSET(PO!$A$7,0,0,COUNTA(PO!$A$7:$A$500),1)</definedName>
    <definedName name="M_StyleNo">OFFSET('Style Master'!$A$7,0,0,COUNTA('Style Master'!$A$7:$A$500),1)</definedName>
    <definedName name="M_VendorCode">OFFSET('Vendor Master'!$A$7,0,0,COUNTA('Vendor Master'!$A$7:$A$500),1)</definedName>
    <definedName name="M_VendorName">OFFSET('Vendor Master'!$B$7,0,0,COUNTA('Vendor Master'!$B$7:$B$500),1)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3" i="35" l="1"/>
  <c r="I12" i="35"/>
  <c r="I11" i="35"/>
  <c r="I10" i="35"/>
  <c r="I9" i="35"/>
  <c r="I8" i="35"/>
  <c r="I7" i="35"/>
  <c r="K13" i="32"/>
  <c r="H13" i="32"/>
  <c r="K12" i="32"/>
  <c r="H12" i="32"/>
  <c r="K11" i="32"/>
  <c r="H11" i="32"/>
  <c r="K10" i="32"/>
  <c r="H10" i="32"/>
  <c r="K9" i="32"/>
  <c r="H9" i="32"/>
  <c r="K8" i="32"/>
  <c r="H8" i="32"/>
  <c r="K7" i="32"/>
  <c r="H7" i="32"/>
  <c r="G13" i="30"/>
  <c r="G12" i="30"/>
  <c r="G11" i="30"/>
  <c r="G10" i="30"/>
  <c r="G9" i="30"/>
  <c r="G8" i="30"/>
  <c r="G7" i="30"/>
  <c r="G13" i="29"/>
  <c r="G12" i="29"/>
  <c r="G11" i="29"/>
  <c r="G10" i="29"/>
  <c r="G9" i="29"/>
  <c r="G8" i="29"/>
  <c r="G7" i="29"/>
  <c r="J13" i="28"/>
  <c r="J12" i="28"/>
  <c r="J11" i="28"/>
  <c r="J10" i="28"/>
  <c r="J9" i="28"/>
  <c r="J8" i="28"/>
  <c r="J7" i="28"/>
  <c r="X13" i="27"/>
  <c r="Y13" i="27" s="1"/>
  <c r="X12" i="27"/>
  <c r="Y12" i="27" s="1"/>
  <c r="W12" i="27"/>
  <c r="X11" i="27"/>
  <c r="Y11" i="27" s="1"/>
  <c r="X10" i="27"/>
  <c r="Y10" i="27" s="1"/>
  <c r="W10" i="27"/>
  <c r="X9" i="27"/>
  <c r="Y9" i="27" s="1"/>
  <c r="X8" i="27"/>
  <c r="Y8" i="27" s="1"/>
  <c r="W8" i="27"/>
  <c r="Y7" i="27"/>
  <c r="X7" i="27"/>
  <c r="W7" i="27"/>
  <c r="G13" i="21"/>
  <c r="G12" i="21"/>
  <c r="G11" i="21"/>
  <c r="G10" i="21"/>
  <c r="G9" i="21"/>
  <c r="G8" i="21"/>
  <c r="G7" i="21"/>
  <c r="F13" i="16"/>
  <c r="H13" i="16" s="1"/>
  <c r="F12" i="16"/>
  <c r="H12" i="16" s="1"/>
  <c r="F11" i="16"/>
  <c r="H11" i="16" s="1"/>
  <c r="F10" i="16"/>
  <c r="H10" i="16" s="1"/>
  <c r="F9" i="16"/>
  <c r="H9" i="16" s="1"/>
  <c r="F8" i="16"/>
  <c r="H8" i="16" s="1"/>
  <c r="F7" i="16"/>
  <c r="H7" i="16" s="1"/>
  <c r="P14" i="15"/>
  <c r="P13" i="15"/>
  <c r="P12" i="15"/>
  <c r="P11" i="15"/>
  <c r="P10" i="15"/>
  <c r="P9" i="15"/>
  <c r="P8" i="15"/>
  <c r="L13" i="13"/>
  <c r="L12" i="13"/>
  <c r="L11" i="13"/>
  <c r="L10" i="13"/>
  <c r="L9" i="13"/>
  <c r="L8" i="13"/>
  <c r="L7" i="13"/>
  <c r="I13" i="12"/>
  <c r="I12" i="12"/>
  <c r="I11" i="12"/>
  <c r="I10" i="12"/>
  <c r="I9" i="12"/>
  <c r="I8" i="12"/>
  <c r="I7" i="12"/>
  <c r="L13" i="11"/>
  <c r="L12" i="11"/>
  <c r="L11" i="11"/>
  <c r="L10" i="11"/>
  <c r="L9" i="11"/>
  <c r="L8" i="11"/>
  <c r="L7" i="11"/>
  <c r="H13" i="10"/>
  <c r="H12" i="10"/>
  <c r="H11" i="10"/>
  <c r="H10" i="10"/>
  <c r="H9" i="10"/>
  <c r="H8" i="10"/>
  <c r="H7" i="10"/>
  <c r="W9" i="27" l="1"/>
  <c r="W13" i="27"/>
  <c r="W11" i="27"/>
</calcChain>
</file>

<file path=xl/sharedStrings.xml><?xml version="1.0" encoding="utf-8"?>
<sst xmlns="http://schemas.openxmlformats.org/spreadsheetml/2006/main" count="2660" uniqueCount="929">
  <si>
    <t>Shekwati Impex - End to End Process Workbook</t>
  </si>
  <si>
    <t>How this workbook is organised</t>
  </si>
  <si>
    <t>Tab order</t>
  </si>
  <si>
    <t>Tabs follow the actual process flow: Masters -&gt; Procurement -&gt; Planning &amp; Production -&gt; QC -&gt; Packaging &amp; Dispatch.</t>
  </si>
  <si>
    <t>Row layout</t>
  </si>
  <si>
    <t>Row 1-2 = title. Row 4 = column headers. Row 5 = field type (Auto / Manual / Dropdown / Formula). Row 6 = note or rule. Data starts at row 7.</t>
  </si>
  <si>
    <t>Exceptions: 'Dye issue' headers are on row 5 (data from row 8); 'Printing' and 'Final Checker Report' headers are on row 3 (data from row 6).</t>
  </si>
  <si>
    <t>Dropdowns</t>
  </si>
  <si>
    <t>Every dropdown reads from a master. Add a new row at the bottom of a master and the dropdown picks it up automatically - no need to edit each sheet.</t>
  </si>
  <si>
    <t>Master Lists tab</t>
  </si>
  <si>
    <t>Holds all simple lists (colours, UOM, defects, statuses, containers, units...). One column per list.</t>
  </si>
  <si>
    <t>Master tabs</t>
  </si>
  <si>
    <t>Buyer Master, Vendor Master, Style Master, Employee Master hold record-level masters. Dropdowns for Buyer / Vendor / Style / Employee read from these.</t>
  </si>
  <si>
    <t>Named ranges</t>
  </si>
  <si>
    <t>L_xxx = list from the Master Lists tab. M_xxx = list from a master tab. Each is an OFFSET/COUNTA range so it grows as rows are added.</t>
  </si>
  <si>
    <t>Sample data</t>
  </si>
  <si>
    <t>7 sample rows per sheet, cross-linked on Order No / Style No / Fabric No / PO ID so end-to-end testing works. Delete before go-live.</t>
  </si>
  <si>
    <t>Formulas</t>
  </si>
  <si>
    <t>Amount, Shrinkage %, Variation %, Alter %, Defects %, Total Qty, Variance etc. are live formulas - do not overwrite them with typed numbers.</t>
  </si>
  <si>
    <t>Test scenario built into the data</t>
  </si>
  <si>
    <t>Order B9641IS</t>
  </si>
  <si>
    <t>5000 tote bags for Trade Word -&gt; PO RF-001 to Rajasthan Fabrics -&gt; GRN full receipt -&gt; fabric issued for dyeing to Shilpa Tex -&gt; received back with 2.5% shrinkage (within 3% tolerance) -&gt; cut on challan CH-001/002 -&gt; stitched at Unit 1 -&gt; internal QC rejects 120 -&gt; external agency splits approved / alteration / spot rectification -&gt; packed 4780 -&gt; needle check -&gt; dispatched on CN-91.</t>
  </si>
  <si>
    <t>Order B9652IS</t>
  </si>
  <si>
    <t>Shows the exception path: dyeing shrinkage 5% -&gt; flagged -&gt; Fabric Scrutiny Report -&gt; rework/reject decision by Dinesh Sir. Cutting plan was also rejected once and re-approved as v2.</t>
  </si>
  <si>
    <t>Role Acess - Head Office / Admin</t>
  </si>
  <si>
    <t>Shekwati Impex</t>
  </si>
  <si>
    <t>Master Lists - all dropdown values (add new values at the bottom of a column; dropdowns update automatically)</t>
  </si>
  <si>
    <t>Country</t>
  </si>
  <si>
    <t>Currency</t>
  </si>
  <si>
    <t>ShipMode</t>
  </si>
  <si>
    <t>UOM</t>
  </si>
  <si>
    <t>ItemCategory</t>
  </si>
  <si>
    <t>FabricSubCat</t>
  </si>
  <si>
    <t>AccessoriesItem</t>
  </si>
  <si>
    <t>ColorCode</t>
  </si>
  <si>
    <t>FabricContent</t>
  </si>
  <si>
    <t>GSM</t>
  </si>
  <si>
    <t>Count</t>
  </si>
  <si>
    <t>Construction</t>
  </si>
  <si>
    <t>SizeGroup</t>
  </si>
  <si>
    <t>Department</t>
  </si>
  <si>
    <t>Designation</t>
  </si>
  <si>
    <t>StitchingUnit</t>
  </si>
  <si>
    <t>ContainerNo</t>
  </si>
  <si>
    <t>Process</t>
  </si>
  <si>
    <t>Purpose</t>
  </si>
  <si>
    <t>GRNPurpose</t>
  </si>
  <si>
    <t>FabricStage</t>
  </si>
  <si>
    <t>DefectType</t>
  </si>
  <si>
    <t>StatusGeneral</t>
  </si>
  <si>
    <t>StatusApproval</t>
  </si>
  <si>
    <t>StatusActive</t>
  </si>
  <si>
    <t>StatusQC</t>
  </si>
  <si>
    <t>VendorCategory</t>
  </si>
  <si>
    <t>StyleCategory</t>
  </si>
  <si>
    <t>Operation</t>
  </si>
  <si>
    <t>AuthorisedBy</t>
  </si>
  <si>
    <t>GatePassType</t>
  </si>
  <si>
    <t>Decision</t>
  </si>
  <si>
    <t>StatusDispatch</t>
  </si>
  <si>
    <t>StatusRecon</t>
  </si>
  <si>
    <t>InformTo</t>
  </si>
  <si>
    <t>RejectReason</t>
  </si>
  <si>
    <t>PaymentTerms</t>
  </si>
  <si>
    <t>SentFor</t>
  </si>
  <si>
    <t>YesNo</t>
  </si>
  <si>
    <t>StatusGatePass</t>
  </si>
  <si>
    <t>StatusDyeRecv</t>
  </si>
  <si>
    <t>PlanDept</t>
  </si>
  <si>
    <t>India</t>
  </si>
  <si>
    <t>USD</t>
  </si>
  <si>
    <t>Ship</t>
  </si>
  <si>
    <t>Mtrs</t>
  </si>
  <si>
    <t>Fabric</t>
  </si>
  <si>
    <t>8 oz</t>
  </si>
  <si>
    <t>Button</t>
  </si>
  <si>
    <t>Natural</t>
  </si>
  <si>
    <t>100% Cotton</t>
  </si>
  <si>
    <t>220 GSM</t>
  </si>
  <si>
    <t>10x6</t>
  </si>
  <si>
    <t>76x28</t>
  </si>
  <si>
    <t>Free Size</t>
  </si>
  <si>
    <t>Procurement</t>
  </si>
  <si>
    <t>Checker</t>
  </si>
  <si>
    <t>Unit 1 - Anil Kumar</t>
  </si>
  <si>
    <t>CN-91</t>
  </si>
  <si>
    <t>Dyeing</t>
  </si>
  <si>
    <t>Cutting</t>
  </si>
  <si>
    <t>Raw Material</t>
  </si>
  <si>
    <t>Before Stitching</t>
  </si>
  <si>
    <t>Untrimmed Thread</t>
  </si>
  <si>
    <t>Pending</t>
  </si>
  <si>
    <t>Active</t>
  </si>
  <si>
    <t>Approved</t>
  </si>
  <si>
    <t>Tote Bag</t>
  </si>
  <si>
    <t>Body Stitch</t>
  </si>
  <si>
    <t>Dinesh Sir</t>
  </si>
  <si>
    <t>Inward</t>
  </si>
  <si>
    <t>Accept</t>
  </si>
  <si>
    <t>Matched</t>
  </si>
  <si>
    <t>Unit Incharge</t>
  </si>
  <si>
    <t>Stitching Defect</t>
  </si>
  <si>
    <t>Advance 30% + 70% on BL</t>
  </si>
  <si>
    <t>Alteration</t>
  </si>
  <si>
    <t>Yes</t>
  </si>
  <si>
    <t>OK</t>
  </si>
  <si>
    <t>USA</t>
  </si>
  <si>
    <t>EUR</t>
  </si>
  <si>
    <t>Air</t>
  </si>
  <si>
    <t>Kg</t>
  </si>
  <si>
    <t>Accessories</t>
  </si>
  <si>
    <t>10 oz</t>
  </si>
  <si>
    <t>Zipper</t>
  </si>
  <si>
    <t>Night Black</t>
  </si>
  <si>
    <t>100% Jute</t>
  </si>
  <si>
    <t>260 GSM</t>
  </si>
  <si>
    <t>12x12</t>
  </si>
  <si>
    <t>60x60</t>
  </si>
  <si>
    <t>Small</t>
  </si>
  <si>
    <t>Planning</t>
  </si>
  <si>
    <t>Operator</t>
  </si>
  <si>
    <t>Unit 2 - Mahipal</t>
  </si>
  <si>
    <t>CN-92</t>
  </si>
  <si>
    <t>Printing</t>
  </si>
  <si>
    <t>After Stitching</t>
  </si>
  <si>
    <t>Handle Out</t>
  </si>
  <si>
    <t>In Progress</t>
  </si>
  <si>
    <t>Inactive</t>
  </si>
  <si>
    <t>Rejected</t>
  </si>
  <si>
    <t>Basic Bag</t>
  </si>
  <si>
    <t>Handle Attach</t>
  </si>
  <si>
    <t>Vinay ji (GM)</t>
  </si>
  <si>
    <t>Outward</t>
  </si>
  <si>
    <t>Reject</t>
  </si>
  <si>
    <t>Dispatched</t>
  </si>
  <si>
    <t>Variance Found</t>
  </si>
  <si>
    <t>QC Head</t>
  </si>
  <si>
    <t>Fabric Defect</t>
  </si>
  <si>
    <t>LC 60 Days</t>
  </si>
  <si>
    <t>Spot Rectification</t>
  </si>
  <si>
    <t>No</t>
  </si>
  <si>
    <t>Cleared</t>
  </si>
  <si>
    <t>Sent to Scrutiny</t>
  </si>
  <si>
    <t>Stitching</t>
  </si>
  <si>
    <t>UK</t>
  </si>
  <si>
    <t>GBP</t>
  </si>
  <si>
    <t>Road</t>
  </si>
  <si>
    <t>Pcs</t>
  </si>
  <si>
    <t>Handle</t>
  </si>
  <si>
    <t>12 oz</t>
  </si>
  <si>
    <t>Cotton Handle</t>
  </si>
  <si>
    <t>Navy Blue</t>
  </si>
  <si>
    <t>Cotton-Poly 80:20</t>
  </si>
  <si>
    <t>280 GSM</t>
  </si>
  <si>
    <t>16x12</t>
  </si>
  <si>
    <t>48x28</t>
  </si>
  <si>
    <t>Medium</t>
  </si>
  <si>
    <t>Tailor</t>
  </si>
  <si>
    <t>Unit 3 - Ramesh</t>
  </si>
  <si>
    <t>CN-93</t>
  </si>
  <si>
    <t>Washing</t>
  </si>
  <si>
    <t>Handle Size</t>
  </si>
  <si>
    <t>Completed</t>
  </si>
  <si>
    <t>Purse</t>
  </si>
  <si>
    <t>Hemming</t>
  </si>
  <si>
    <t>Rework</t>
  </si>
  <si>
    <t>In Transit</t>
  </si>
  <si>
    <t>Supervisor</t>
  </si>
  <si>
    <t>Print Defect</t>
  </si>
  <si>
    <t>TT 30 Days</t>
  </si>
  <si>
    <t>Scrap</t>
  </si>
  <si>
    <t>Shipping</t>
  </si>
  <si>
    <t>Netherlands</t>
  </si>
  <si>
    <t>INR</t>
  </si>
  <si>
    <t>Courier</t>
  </si>
  <si>
    <t>Roll</t>
  </si>
  <si>
    <t>14 oz</t>
  </si>
  <si>
    <t>Jute Handle</t>
  </si>
  <si>
    <t>Olive Green</t>
  </si>
  <si>
    <t>Recycled Cotton</t>
  </si>
  <si>
    <t>320 GSM</t>
  </si>
  <si>
    <t>20x20</t>
  </si>
  <si>
    <t>68x38</t>
  </si>
  <si>
    <t>Large</t>
  </si>
  <si>
    <t>Unit 4 - Suresh</t>
  </si>
  <si>
    <t>CN-94</t>
  </si>
  <si>
    <t>Finishing</t>
  </si>
  <si>
    <t>Job Work Return</t>
  </si>
  <si>
    <t>Without Label</t>
  </si>
  <si>
    <t>On Hold</t>
  </si>
  <si>
    <t>Pouch</t>
  </si>
  <si>
    <t>Label Attach</t>
  </si>
  <si>
    <t>Delivered</t>
  </si>
  <si>
    <t>Production Manager</t>
  </si>
  <si>
    <t>Size Mismatch</t>
  </si>
  <si>
    <t>TT 45 Days</t>
  </si>
  <si>
    <t>Germany</t>
  </si>
  <si>
    <t>AUD</t>
  </si>
  <si>
    <t>Box</t>
  </si>
  <si>
    <t>Label</t>
  </si>
  <si>
    <t>16 oz</t>
  </si>
  <si>
    <t>Woven Label</t>
  </si>
  <si>
    <t>Burgundy</t>
  </si>
  <si>
    <t>Canvas Cotton</t>
  </si>
  <si>
    <t>340 GSM</t>
  </si>
  <si>
    <t>8x4</t>
  </si>
  <si>
    <t>XL</t>
  </si>
  <si>
    <t>Manager</t>
  </si>
  <si>
    <t>CN-95</t>
  </si>
  <si>
    <t>Return</t>
  </si>
  <si>
    <t>Slanted Label</t>
  </si>
  <si>
    <t>Cancelled</t>
  </si>
  <si>
    <t>Stitching Unit</t>
  </si>
  <si>
    <t>Shopper</t>
  </si>
  <si>
    <t>Lupi Stitch</t>
  </si>
  <si>
    <t>Colour Variation</t>
  </si>
  <si>
    <t>Net 90</t>
  </si>
  <si>
    <t>France</t>
  </si>
  <si>
    <t>AED</t>
  </si>
  <si>
    <t>Set</t>
  </si>
  <si>
    <t>Thread</t>
  </si>
  <si>
    <t>Canvas 10x6</t>
  </si>
  <si>
    <t>Care Label</t>
  </si>
  <si>
    <t>Off White</t>
  </si>
  <si>
    <t>400 GSM</t>
  </si>
  <si>
    <t>QC</t>
  </si>
  <si>
    <t>GM</t>
  </si>
  <si>
    <t>Sampling</t>
  </si>
  <si>
    <t>Double Lupi</t>
  </si>
  <si>
    <t>External QC</t>
  </si>
  <si>
    <t>Gusset Stitch</t>
  </si>
  <si>
    <t>Handle Defect</t>
  </si>
  <si>
    <t>Sweden</t>
  </si>
  <si>
    <t>Dozen</t>
  </si>
  <si>
    <t>Canvas 12x12</t>
  </si>
  <si>
    <t>Hang Tag</t>
  </si>
  <si>
    <t>Khaki</t>
  </si>
  <si>
    <t>Packing</t>
  </si>
  <si>
    <t>Director</t>
  </si>
  <si>
    <t>Other</t>
  </si>
  <si>
    <t>Without Lupi</t>
  </si>
  <si>
    <t>Transport</t>
  </si>
  <si>
    <t>Final Trim</t>
  </si>
  <si>
    <t>Stain/Dirt</t>
  </si>
  <si>
    <t>Australia</t>
  </si>
  <si>
    <t>Packaging Material</t>
  </si>
  <si>
    <t>Rivet</t>
  </si>
  <si>
    <t>Rust</t>
  </si>
  <si>
    <t>Dispatch</t>
  </si>
  <si>
    <t>Wrong Side Lupi</t>
  </si>
  <si>
    <t>Needle Found</t>
  </si>
  <si>
    <t>UAE</t>
  </si>
  <si>
    <t>D-Ring</t>
  </si>
  <si>
    <t>Weaving Defect</t>
  </si>
  <si>
    <t>Cut/Hole</t>
  </si>
  <si>
    <t>Improper Hem</t>
  </si>
  <si>
    <t>Double Stitch</t>
  </si>
  <si>
    <t>Without Stitch</t>
  </si>
  <si>
    <t>Torn</t>
  </si>
  <si>
    <t>Stain</t>
  </si>
  <si>
    <t>Dyeing Shade Variation</t>
  </si>
  <si>
    <t>Buyer Master</t>
  </si>
  <si>
    <t>Buyer Code</t>
  </si>
  <si>
    <t>Buyer Name</t>
  </si>
  <si>
    <t>Address</t>
  </si>
  <si>
    <t>Contact Person</t>
  </si>
  <si>
    <t>Email</t>
  </si>
  <si>
    <t>Phone</t>
  </si>
  <si>
    <t>Payment Terms</t>
  </si>
  <si>
    <t>Status</t>
  </si>
  <si>
    <t>Auto</t>
  </si>
  <si>
    <t>Manual</t>
  </si>
  <si>
    <t>Dropdown</t>
  </si>
  <si>
    <t>Active/Inactive</t>
  </si>
  <si>
    <t>BUY-001</t>
  </si>
  <si>
    <t>Trade Word</t>
  </si>
  <si>
    <t>12 Harbour Road, New York</t>
  </si>
  <si>
    <t>Michael Reed</t>
  </si>
  <si>
    <t>michael@tradeword.com</t>
  </si>
  <si>
    <t>+1 212 555 0142</t>
  </si>
  <si>
    <t>BUY-002</t>
  </si>
  <si>
    <t>Global Bags Ltd</t>
  </si>
  <si>
    <t>45 Camden High St, London</t>
  </si>
  <si>
    <t>Sarah Whitmore</t>
  </si>
  <si>
    <t>sarah@globalbags.co.uk</t>
  </si>
  <si>
    <t>+44 20 7946 0321</t>
  </si>
  <si>
    <t>BUY-003</t>
  </si>
  <si>
    <t>EcoCarry BV</t>
  </si>
  <si>
    <t>Keizersgracht 210, Amsterdam</t>
  </si>
  <si>
    <t>Jan de Vries</t>
  </si>
  <si>
    <t>jan@ecocarry.nl</t>
  </si>
  <si>
    <t>+31 20 626 4471</t>
  </si>
  <si>
    <t>BUY-004</t>
  </si>
  <si>
    <t>Urban Tote Inc</t>
  </si>
  <si>
    <t>880 Market St, San Francisco</t>
  </si>
  <si>
    <t>Laura Chen</t>
  </si>
  <si>
    <t>laura@urbantote.com</t>
  </si>
  <si>
    <t>+1 415 555 0198</t>
  </si>
  <si>
    <t>BUY-005</t>
  </si>
  <si>
    <t>Nordic Sacks AB</t>
  </si>
  <si>
    <t>Sveavagen 44, Stockholm</t>
  </si>
  <si>
    <t>Erik Lindqvist</t>
  </si>
  <si>
    <t>erik@nordicsacks.se</t>
  </si>
  <si>
    <t>+46 8 545 1220</t>
  </si>
  <si>
    <t>BUY-006</t>
  </si>
  <si>
    <t>Maison Sac SARL</t>
  </si>
  <si>
    <t>18 Rue de Rivoli, Paris</t>
  </si>
  <si>
    <t>Claire Dubois</t>
  </si>
  <si>
    <t>claire@maisonsac.fr</t>
  </si>
  <si>
    <t>+33 1 4260 3388</t>
  </si>
  <si>
    <t>BUY-007</t>
  </si>
  <si>
    <t>Aussie Carry Pty</t>
  </si>
  <si>
    <t>7 Collins St, Melbourne</t>
  </si>
  <si>
    <t>Tom Hargreave</t>
  </si>
  <si>
    <t>tom@aussiecarry.com.au</t>
  </si>
  <si>
    <t>+61 3 9600 2214</t>
  </si>
  <si>
    <t>Vendor Master</t>
  </si>
  <si>
    <t>Vendor Code</t>
  </si>
  <si>
    <t>Vendor Name</t>
  </si>
  <si>
    <t>Category</t>
  </si>
  <si>
    <t>GST No</t>
  </si>
  <si>
    <t>Bank Details</t>
  </si>
  <si>
    <t>Remarks</t>
  </si>
  <si>
    <t>Text</t>
  </si>
  <si>
    <t>Fabric/Accessories/Dyeing/Printing/Stitching Unit/Other</t>
  </si>
  <si>
    <t>VEN-001</t>
  </si>
  <si>
    <t>Rajasthan Fabrics</t>
  </si>
  <si>
    <t>Plot 12, RIICO Area, Jaipur</t>
  </si>
  <si>
    <t>08AABCR1234K1Z5</t>
  </si>
  <si>
    <t>Suresh Agarwal</t>
  </si>
  <si>
    <t>+91 98290 11223</t>
  </si>
  <si>
    <t>sales@rajfabrics.in</t>
  </si>
  <si>
    <t>HDFC 50200012345678</t>
  </si>
  <si>
    <t>Primary canvas supplier</t>
  </si>
  <si>
    <t>VEN-002</t>
  </si>
  <si>
    <t>Metro Accessories</t>
  </si>
  <si>
    <t>Shop 8, Johri Bazar, Jaipur</t>
  </si>
  <si>
    <t>08AACCM5678L1Z2</t>
  </si>
  <si>
    <t>Vikram Jain</t>
  </si>
  <si>
    <t>+91 98280 44556</t>
  </si>
  <si>
    <t>info@metroacc.in</t>
  </si>
  <si>
    <t>ICICI 001905001234</t>
  </si>
  <si>
    <t>Buttons, zippers, labels</t>
  </si>
  <si>
    <t>VEN-003</t>
  </si>
  <si>
    <t>Shilpa Tex</t>
  </si>
  <si>
    <t>Bagru, Jaipur - 303007</t>
  </si>
  <si>
    <t>08AADCS9012M1Z8</t>
  </si>
  <si>
    <t>Ramavtar Sharma</t>
  </si>
  <si>
    <t>+91 94140 77889</t>
  </si>
  <si>
    <t>shilpatex@gmail.com</t>
  </si>
  <si>
    <t>SBI 30124567890</t>
  </si>
  <si>
    <t>2-3% shrinkage standard</t>
  </si>
  <si>
    <t>VEN-004</t>
  </si>
  <si>
    <t>Bagru Prints</t>
  </si>
  <si>
    <t>Bagru Industrial Area, Jaipur</t>
  </si>
  <si>
    <t>08AAECB3456N1Z4</t>
  </si>
  <si>
    <t>Mahesh Chhipa</t>
  </si>
  <si>
    <t>+91 93140 22110</t>
  </si>
  <si>
    <t>bagruprints@gmail.com</t>
  </si>
  <si>
    <t>PNB 0456002000123</t>
  </si>
  <si>
    <t>Hand block + screen</t>
  </si>
  <si>
    <t>VEN-005</t>
  </si>
  <si>
    <t>Sempax Unit 1</t>
  </si>
  <si>
    <t>Sitapura, Jaipur</t>
  </si>
  <si>
    <t>08AAFCS7890P1Z9</t>
  </si>
  <si>
    <t>Naresh Gupta</t>
  </si>
  <si>
    <t>+91 99280 33445</t>
  </si>
  <si>
    <t>unit1@sempax.in</t>
  </si>
  <si>
    <t>Axis 918020034567</t>
  </si>
  <si>
    <t>Roll printing</t>
  </si>
  <si>
    <t>VEN-006</t>
  </si>
  <si>
    <t>Anil Kumar Stitching</t>
  </si>
  <si>
    <t>Sanganer, Jaipur</t>
  </si>
  <si>
    <t>08AAGCA2345Q1Z1</t>
  </si>
  <si>
    <t>Anil Kumar</t>
  </si>
  <si>
    <t>+91 96490 55667</t>
  </si>
  <si>
    <t>anilstitch@gmail.com</t>
  </si>
  <si>
    <t>BOB 04510100012345</t>
  </si>
  <si>
    <t>Contract - paid per piece</t>
  </si>
  <si>
    <t>VEN-007</t>
  </si>
  <si>
    <t>QualiCheck Services</t>
  </si>
  <si>
    <t>Malviya Nagar, Jaipur</t>
  </si>
  <si>
    <t>08AAHCQ6789R1Z6</t>
  </si>
  <si>
    <t>Priya Nair</t>
  </si>
  <si>
    <t>+91 90010 88990</t>
  </si>
  <si>
    <t>ops@qualicheck.in</t>
  </si>
  <si>
    <t>Kotak 8712345601</t>
  </si>
  <si>
    <t>Sorts approved/rejected/alter</t>
  </si>
  <si>
    <t>Style Master (BOM)</t>
  </si>
  <si>
    <t>Style No</t>
  </si>
  <si>
    <t>Style Description</t>
  </si>
  <si>
    <t>Buyer</t>
  </si>
  <si>
    <t>Fabric Content</t>
  </si>
  <si>
    <t>Avg Fabric Utilization / Pc</t>
  </si>
  <si>
    <t>Avg Accessory Consumption / Pc</t>
  </si>
  <si>
    <t>Size Group</t>
  </si>
  <si>
    <t>Image Ref</t>
  </si>
  <si>
    <t>Master - Buyer Master</t>
  </si>
  <si>
    <t>Tote/Basic/Purse</t>
  </si>
  <si>
    <t>used by PO to cap Order-as-per-Style qty</t>
  </si>
  <si>
    <t>TR-0751-008</t>
  </si>
  <si>
    <t>Tote Bag - Long Handle Canvas</t>
  </si>
  <si>
    <t>IMG/TR0751008.jpg</t>
  </si>
  <si>
    <t>Best seller</t>
  </si>
  <si>
    <t>TR-0751-009</t>
  </si>
  <si>
    <t>Tote Bag - Short Handle</t>
  </si>
  <si>
    <t>IMG/TR0751009.jpg</t>
  </si>
  <si>
    <t>TR-0752-101</t>
  </si>
  <si>
    <t>Shopper Bag - Gusset</t>
  </si>
  <si>
    <t>IMG/TR0752101.jpg</t>
  </si>
  <si>
    <t>Gusset + base board</t>
  </si>
  <si>
    <t>PU-0330-045</t>
  </si>
  <si>
    <t>Purse Basic - Zip Top</t>
  </si>
  <si>
    <t>IMG/PU0330045.jpg</t>
  </si>
  <si>
    <t>Zipper from Metro</t>
  </si>
  <si>
    <t>PU-0330-046</t>
  </si>
  <si>
    <t>Purse Basic - Flap</t>
  </si>
  <si>
    <t>IMG/PU0330046.jpg</t>
  </si>
  <si>
    <t>TB-0910-012</t>
  </si>
  <si>
    <t>Tote Bag - Printed Panel</t>
  </si>
  <si>
    <t>IMG/TB0910012.jpg</t>
  </si>
  <si>
    <t>Print before stitching</t>
  </si>
  <si>
    <t>BS-0455-003</t>
  </si>
  <si>
    <t>Basic Bag - Jute Handle</t>
  </si>
  <si>
    <t>IMG/BS0455003.jpg</t>
  </si>
  <si>
    <t>Employee Master</t>
  </si>
  <si>
    <t>Emp ID</t>
  </si>
  <si>
    <t>Emp Name</t>
  </si>
  <si>
    <t>Unit / Line</t>
  </si>
  <si>
    <t>Procurement/Cutting/Stitching/QC/Packing/Dispatch</t>
  </si>
  <si>
    <t>Checker/Operator/Supervisor/Manager</t>
  </si>
  <si>
    <t>EMP-001</t>
  </si>
  <si>
    <t>Maharaj Singh</t>
  </si>
  <si>
    <t>Cutting Floor</t>
  </si>
  <si>
    <t>EMP-002</t>
  </si>
  <si>
    <t>EMP-003</t>
  </si>
  <si>
    <t>Mahipal Yadav</t>
  </si>
  <si>
    <t>EMP-004</t>
  </si>
  <si>
    <t>Sunita Devi</t>
  </si>
  <si>
    <t>QC Hall</t>
  </si>
  <si>
    <t>EMP-005</t>
  </si>
  <si>
    <t>Rekha Sharma</t>
  </si>
  <si>
    <t>EMP-006</t>
  </si>
  <si>
    <t>Vinay Sharma</t>
  </si>
  <si>
    <t>Head Office</t>
  </si>
  <si>
    <t>EMP-007</t>
  </si>
  <si>
    <t>Pooja Meena</t>
  </si>
  <si>
    <t>Packing Hall</t>
  </si>
  <si>
    <t>EMP-008</t>
  </si>
  <si>
    <t>Ravi Prajapat</t>
  </si>
  <si>
    <t>EMP-009</t>
  </si>
  <si>
    <t>EMP-010</t>
  </si>
  <si>
    <t>Ramesh Kumar</t>
  </si>
  <si>
    <t>EMP-011</t>
  </si>
  <si>
    <t>Suresh Meena</t>
  </si>
  <si>
    <t>Role Acess - Merchandising Team</t>
  </si>
  <si>
    <t>Order Format</t>
  </si>
  <si>
    <t>Order No</t>
  </si>
  <si>
    <t>Order Date</t>
  </si>
  <si>
    <t>Item Description</t>
  </si>
  <si>
    <t>Bill To</t>
  </si>
  <si>
    <t>Ship to</t>
  </si>
  <si>
    <t>Buyer Delivery Date</t>
  </si>
  <si>
    <t>Order Qty</t>
  </si>
  <si>
    <t>Color Code</t>
  </si>
  <si>
    <t>Ship Mode</t>
  </si>
  <si>
    <t>Excess</t>
  </si>
  <si>
    <t>Approval from dinesh sir</t>
  </si>
  <si>
    <t>Master</t>
  </si>
  <si>
    <t>B9641IS</t>
  </si>
  <si>
    <t>Trade Word, New York</t>
  </si>
  <si>
    <t>Trade Word DC, New Jersey</t>
  </si>
  <si>
    <t>First shipment of season</t>
  </si>
  <si>
    <t>B9646IS</t>
  </si>
  <si>
    <t>B9652IS</t>
  </si>
  <si>
    <t>Global Bags, London</t>
  </si>
  <si>
    <t>Global Bags DC, Tilbury</t>
  </si>
  <si>
    <t>Base board required</t>
  </si>
  <si>
    <t>B9658IS</t>
  </si>
  <si>
    <t>EcoCarry, Amsterdam</t>
  </si>
  <si>
    <t>Rotterdam Port</t>
  </si>
  <si>
    <t>B9663IS</t>
  </si>
  <si>
    <t>Urban Tote, SF</t>
  </si>
  <si>
    <t>Oakland DC</t>
  </si>
  <si>
    <t>B9670IS</t>
  </si>
  <si>
    <t>Nordic Sacks, Sthlm</t>
  </si>
  <si>
    <t>Stockholm DC</t>
  </si>
  <si>
    <t>B9675IS</t>
  </si>
  <si>
    <t>Role Acess - Planning Dept (Operator/GM)</t>
  </si>
  <si>
    <t>Cutting/Stiching/Packing/Shipping Planning Format</t>
  </si>
  <si>
    <t>Planning Department</t>
  </si>
  <si>
    <t>Container No</t>
  </si>
  <si>
    <t>Auto- dropdown</t>
  </si>
  <si>
    <t>Date</t>
  </si>
  <si>
    <t>Deliverable Size</t>
  </si>
  <si>
    <t xml:space="preserve">Status </t>
  </si>
  <si>
    <t>Remark</t>
  </si>
  <si>
    <t xml:space="preserve">Unit </t>
  </si>
  <si>
    <t>dropdown</t>
  </si>
  <si>
    <t>1,2,3,4</t>
  </si>
  <si>
    <t>Cut in 2 lots</t>
  </si>
  <si>
    <t>2500 pcs/day</t>
  </si>
  <si>
    <t>Gusset adds time</t>
  </si>
  <si>
    <t>High volume - split lots</t>
  </si>
  <si>
    <t>Air shipment</t>
  </si>
  <si>
    <t>Role Acess - Procurement Dept (Manager) - Approved by Dinesh Sir</t>
  </si>
  <si>
    <t>Vendor Quotation &amp; Fabric Procurement Approval</t>
  </si>
  <si>
    <t>Quotation No</t>
  </si>
  <si>
    <t>Item</t>
  </si>
  <si>
    <t>Rate Quoted</t>
  </si>
  <si>
    <t>Qty</t>
  </si>
  <si>
    <t>Amount</t>
  </si>
  <si>
    <t>Authorised By</t>
  </si>
  <si>
    <t>Authorisation Status</t>
  </si>
  <si>
    <t>Formula</t>
  </si>
  <si>
    <t>Master - Item</t>
  </si>
  <si>
    <t>Master - Vendor Master</t>
  </si>
  <si>
    <t>Rate x Qty</t>
  </si>
  <si>
    <t>Master - Dinesh Sir</t>
  </si>
  <si>
    <t>Pending/Approved/Rejected</t>
  </si>
  <si>
    <t>QT-001</t>
  </si>
  <si>
    <t>Lowest of 3 quotes</t>
  </si>
  <si>
    <t>QT-002</t>
  </si>
  <si>
    <t>Rate higher</t>
  </si>
  <si>
    <t>QT-003</t>
  </si>
  <si>
    <t>Cotton handles</t>
  </si>
  <si>
    <t>QT-004</t>
  </si>
  <si>
    <t>For B9646IS</t>
  </si>
  <si>
    <t>QT-005</t>
  </si>
  <si>
    <t>Zippers - awaiting sample</t>
  </si>
  <si>
    <t>QT-006</t>
  </si>
  <si>
    <t>Recycled cotton</t>
  </si>
  <si>
    <t>QT-007</t>
  </si>
  <si>
    <t>Woven labels</t>
  </si>
  <si>
    <t>Role Acess - Procurement Dept (Manager)</t>
  </si>
  <si>
    <t>PO Format</t>
  </si>
  <si>
    <t>Vendor initial + no</t>
  </si>
  <si>
    <t>PO ID</t>
  </si>
  <si>
    <t>sub - category</t>
  </si>
  <si>
    <t>Accessories item</t>
  </si>
  <si>
    <t>Excess Allowed</t>
  </si>
  <si>
    <t>Vender Name</t>
  </si>
  <si>
    <t xml:space="preserve">Rate </t>
  </si>
  <si>
    <t>HSN Code</t>
  </si>
  <si>
    <t>Content</t>
  </si>
  <si>
    <t>Color code</t>
  </si>
  <si>
    <t>text</t>
  </si>
  <si>
    <t>it will appear only if they selectthey will select accessory</t>
  </si>
  <si>
    <t>2-3%</t>
  </si>
  <si>
    <t>RF-001</t>
  </si>
  <si>
    <t>RIICO Area, Jaipur</t>
  </si>
  <si>
    <t>52081290</t>
  </si>
  <si>
    <t>Order as per Style - B9641IS</t>
  </si>
  <si>
    <t>RF-002</t>
  </si>
  <si>
    <t>Bulk Order - B9646IS</t>
  </si>
  <si>
    <t>MA-001</t>
  </si>
  <si>
    <t>Johri Bazar, Jaipur</t>
  </si>
  <si>
    <t>63079090</t>
  </si>
  <si>
    <t>1% excess allowed</t>
  </si>
  <si>
    <t>RF-003</t>
  </si>
  <si>
    <t>For B9658IS purses</t>
  </si>
  <si>
    <t>MA-002</t>
  </si>
  <si>
    <t>58071010</t>
  </si>
  <si>
    <t>Buyer branded</t>
  </si>
  <si>
    <t>RF-004</t>
  </si>
  <si>
    <t>Bulk Order - B9663IS</t>
  </si>
  <si>
    <t>MA-003</t>
  </si>
  <si>
    <t>96071110</t>
  </si>
  <si>
    <t>Awaiting quote approval</t>
  </si>
  <si>
    <t>Role Acess - Procurement Dept (Checker)</t>
  </si>
  <si>
    <t>Gate Pass (Inward / Outward)</t>
  </si>
  <si>
    <t>Gate Pass No</t>
  </si>
  <si>
    <t>Type</t>
  </si>
  <si>
    <t>Linked PO / Challan No</t>
  </si>
  <si>
    <t>Vendor / Unit Name</t>
  </si>
  <si>
    <t>Received Qty</t>
  </si>
  <si>
    <t>Variation %</t>
  </si>
  <si>
    <t xml:space="preserve">Auto </t>
  </si>
  <si>
    <t>Inward/Outward</t>
  </si>
  <si>
    <t>Dyeing/Printing/Stitching/Return/Other</t>
  </si>
  <si>
    <t>By name</t>
  </si>
  <si>
    <t>Pending/Cleared</t>
  </si>
  <si>
    <t>GP-001</t>
  </si>
  <si>
    <t>Against PO RF-001</t>
  </si>
  <si>
    <t>GP-002</t>
  </si>
  <si>
    <t>DY-001</t>
  </si>
  <si>
    <t>Sent for dyeing</t>
  </si>
  <si>
    <t>GP-003</t>
  </si>
  <si>
    <t>Dyed Fabric</t>
  </si>
  <si>
    <t>2.5% shrinkage</t>
  </si>
  <si>
    <t>GP-004</t>
  </si>
  <si>
    <t>PR-001</t>
  </si>
  <si>
    <t>Cut Panels</t>
  </si>
  <si>
    <t>GP-005</t>
  </si>
  <si>
    <t>CH-001</t>
  </si>
  <si>
    <t>Cutting Pieces</t>
  </si>
  <si>
    <t>Unit 1 allotment</t>
  </si>
  <si>
    <t>GP-006</t>
  </si>
  <si>
    <t>Stitched Bags</t>
  </si>
  <si>
    <t>40 pcs held for alteration</t>
  </si>
  <si>
    <t>GP-007</t>
  </si>
  <si>
    <t>Awaiting QC count</t>
  </si>
  <si>
    <t>GRNFormat</t>
  </si>
  <si>
    <t>Bill No</t>
  </si>
  <si>
    <t>purpose</t>
  </si>
  <si>
    <t>Vender</t>
  </si>
  <si>
    <t>Receiving Qty</t>
  </si>
  <si>
    <t>Inventory Rate</t>
  </si>
  <si>
    <t>manual</t>
  </si>
  <si>
    <t>Received Qty x Rate per unit</t>
  </si>
  <si>
    <t>vender</t>
  </si>
  <si>
    <t>Formulla</t>
  </si>
  <si>
    <t>BL-1201</t>
  </si>
  <si>
    <t>Full qty received</t>
  </si>
  <si>
    <t>BL-1215</t>
  </si>
  <si>
    <t>20 mtrs short</t>
  </si>
  <si>
    <t>MA-0450</t>
  </si>
  <si>
    <t>Cotton Handle - 1% excess received</t>
  </si>
  <si>
    <t>BL-1233</t>
  </si>
  <si>
    <t>MA-0461</t>
  </si>
  <si>
    <t>Woven Label - buyer branded</t>
  </si>
  <si>
    <t>BL-1247</t>
  </si>
  <si>
    <t>Partial - balance in transit</t>
  </si>
  <si>
    <t>MA-0470</t>
  </si>
  <si>
    <t>Role Acess - Cutting Dept (Supervisor)</t>
  </si>
  <si>
    <t>Fabric Issue for Cutting Format</t>
  </si>
  <si>
    <t>Fabric No</t>
  </si>
  <si>
    <t xml:space="preserve">Name </t>
  </si>
  <si>
    <t>Fabric Qty  Issued</t>
  </si>
  <si>
    <t>Fabric name</t>
  </si>
  <si>
    <t>Maual</t>
  </si>
  <si>
    <t>auto</t>
  </si>
  <si>
    <t>eg- 10 oz</t>
  </si>
  <si>
    <t>FAB-001</t>
  </si>
  <si>
    <t>10 oz 10x6</t>
  </si>
  <si>
    <t>Sent to Shilpa Tex</t>
  </si>
  <si>
    <t>FAB-002</t>
  </si>
  <si>
    <t>Post dyeing</t>
  </si>
  <si>
    <t>FAB-003</t>
  </si>
  <si>
    <t>12 oz 12x12</t>
  </si>
  <si>
    <t>Panel print</t>
  </si>
  <si>
    <t>FAB-004</t>
  </si>
  <si>
    <t>FAB-005</t>
  </si>
  <si>
    <t>Gusset panels</t>
  </si>
  <si>
    <t>FAB-006</t>
  </si>
  <si>
    <t>FAB-007</t>
  </si>
  <si>
    <t>Jute Canvas</t>
  </si>
  <si>
    <t>FAB-008</t>
  </si>
  <si>
    <t>FAB-009</t>
  </si>
  <si>
    <t>Shade issue reported</t>
  </si>
  <si>
    <t>FAB-010</t>
  </si>
  <si>
    <t>Dye Format</t>
  </si>
  <si>
    <t>Colour Code</t>
  </si>
  <si>
    <t xml:space="preserve">Width </t>
  </si>
  <si>
    <t>Pin Code</t>
  </si>
  <si>
    <t>Rate</t>
  </si>
  <si>
    <t>Auto-dropdown</t>
  </si>
  <si>
    <t>numbers</t>
  </si>
  <si>
    <t>Bagru, Jaipur</t>
  </si>
  <si>
    <t>PO DY-001</t>
  </si>
  <si>
    <t>PO DY-002</t>
  </si>
  <si>
    <t>PO DY-003</t>
  </si>
  <si>
    <t>PO DY-004</t>
  </si>
  <si>
    <t>PO DY-005</t>
  </si>
  <si>
    <t>Fabric Received from Dyeing</t>
  </si>
  <si>
    <t>Dye Issue PO No</t>
  </si>
  <si>
    <t>Qty Issued</t>
  </si>
  <si>
    <t>Qty Received</t>
  </si>
  <si>
    <t>Shrinkage %</t>
  </si>
  <si>
    <t>Standard Shrinkage Allowed</t>
  </si>
  <si>
    <t>Variation Flag</t>
  </si>
  <si>
    <t>Master - Dye Issue</t>
  </si>
  <si>
    <t>(Qty Issued - Qty Received)/Qty Issued</t>
  </si>
  <si>
    <t>Yes if Shrinkage % &gt; Standard</t>
  </si>
  <si>
    <t>OK/Sent to Scrutiny</t>
  </si>
  <si>
    <t>Within tolerance</t>
  </si>
  <si>
    <t>DY-002</t>
  </si>
  <si>
    <t>3.5% - borderline</t>
  </si>
  <si>
    <t>DY-003</t>
  </si>
  <si>
    <t>5% shrinkage - shade issue</t>
  </si>
  <si>
    <t>DY-004</t>
  </si>
  <si>
    <t>DY-005</t>
  </si>
  <si>
    <t>DY-006</t>
  </si>
  <si>
    <t>6% - to be discussed with vendor</t>
  </si>
  <si>
    <t>DY-007</t>
  </si>
  <si>
    <t>Role Acess - QC Dept - Decision by Dinesh Sir</t>
  </si>
  <si>
    <t>Fabric Scrutiny Report</t>
  </si>
  <si>
    <t>Defect Type</t>
  </si>
  <si>
    <t>Qty Affected</t>
  </si>
  <si>
    <t>Checked By</t>
  </si>
  <si>
    <t>Dyeing Defect/Weaving Defect</t>
  </si>
  <si>
    <t>Master - Employee</t>
  </si>
  <si>
    <t>Accept/Reject/Rework</t>
  </si>
  <si>
    <t>Re-dye at vendor cost</t>
  </si>
  <si>
    <t>Debit note to vendor</t>
  </si>
  <si>
    <t>Shade card mismatch</t>
  </si>
  <si>
    <t>Loom damage</t>
  </si>
  <si>
    <t>Washable - accepted</t>
  </si>
  <si>
    <t>Panel re-cut possible</t>
  </si>
  <si>
    <t>Within buyer tolerance</t>
  </si>
  <si>
    <t>Role Acess - Printing Dept (Manager)</t>
  </si>
  <si>
    <t>Printing  Format</t>
  </si>
  <si>
    <t>Style No.</t>
  </si>
  <si>
    <t>Vendor</t>
  </si>
  <si>
    <t>Fabric Stage</t>
  </si>
  <si>
    <t>Unit1 SEMPAX</t>
  </si>
  <si>
    <t>after stitching</t>
  </si>
  <si>
    <t>before stitching</t>
  </si>
  <si>
    <t>Panel print - 2 colour</t>
  </si>
  <si>
    <t>Second lot</t>
  </si>
  <si>
    <t>Logo print on finished bag</t>
  </si>
  <si>
    <t>Buyer logo</t>
  </si>
  <si>
    <t>Small flap print</t>
  </si>
  <si>
    <t>Role Acess - Planning Dept - Approved by Vinay ji (GM) / Dinesh Sir</t>
  </si>
  <si>
    <t>Cutting / Stitching / Shipping Plan Approval Log</t>
  </si>
  <si>
    <t>Prepared By</t>
  </si>
  <si>
    <t>Submitted To</t>
  </si>
  <si>
    <t>Approval Status</t>
  </si>
  <si>
    <t>Rejection Reason</t>
  </si>
  <si>
    <t>Rectification Remarks</t>
  </si>
  <si>
    <t>Approved Date</t>
  </si>
  <si>
    <t>Unit 3 overloaded</t>
  </si>
  <si>
    <t>Shift 1500 pcs to Unit 4</t>
  </si>
  <si>
    <t>Revised plan v2</t>
  </si>
  <si>
    <t>Shipping date too tight</t>
  </si>
  <si>
    <t>Extend cutting by 3 days</t>
  </si>
  <si>
    <t>Awaiting fabric scrutiny</t>
  </si>
  <si>
    <t>Role Acess - Cutting Dept (Tailor/Supervisor)</t>
  </si>
  <si>
    <t>Cutting Format</t>
  </si>
  <si>
    <t>Challan No</t>
  </si>
  <si>
    <t>Planned Cutting</t>
  </si>
  <si>
    <t>Firm Name</t>
  </si>
  <si>
    <t>Cutting Pcs Issued</t>
  </si>
  <si>
    <t>Handle issued</t>
  </si>
  <si>
    <t>AUTO</t>
  </si>
  <si>
    <t>4 units</t>
  </si>
  <si>
    <t>auto from planning</t>
  </si>
  <si>
    <t>Lot 1</t>
  </si>
  <si>
    <t>CH-002</t>
  </si>
  <si>
    <t>Lot 2</t>
  </si>
  <si>
    <t>CH-003</t>
  </si>
  <si>
    <t>CH-004</t>
  </si>
  <si>
    <t>CH-005</t>
  </si>
  <si>
    <t>Gusset panels separate</t>
  </si>
  <si>
    <t>CH-006</t>
  </si>
  <si>
    <t>Lot 1 of 2</t>
  </si>
  <si>
    <t>CH-007</t>
  </si>
  <si>
    <t>Printed panels</t>
  </si>
  <si>
    <t>Role Acess - Stitching Dept (Supervisor)</t>
  </si>
  <si>
    <t>Stiching Record Format</t>
  </si>
  <si>
    <t>Unit Name</t>
  </si>
  <si>
    <t>Actual</t>
  </si>
  <si>
    <t>Remaining</t>
  </si>
  <si>
    <t>120 pcs to alteration</t>
  </si>
  <si>
    <t>Handle attach delay</t>
  </si>
  <si>
    <t>Gusset slows line</t>
  </si>
  <si>
    <t>Purse - high output</t>
  </si>
  <si>
    <t>Printed panel alignment</t>
  </si>
  <si>
    <t>Stitching Hourly Format</t>
  </si>
  <si>
    <t>order No</t>
  </si>
  <si>
    <t>Emp Id</t>
  </si>
  <si>
    <t>5;30</t>
  </si>
  <si>
    <t>Auto Capture</t>
  </si>
  <si>
    <t>Emp master</t>
  </si>
  <si>
    <t>TIME</t>
  </si>
  <si>
    <t>Role Acess - QC Dept (Checker)</t>
  </si>
  <si>
    <t>Daily QC Record (Tailor Size)</t>
  </si>
  <si>
    <t>Unit</t>
  </si>
  <si>
    <t>Tailor Name</t>
  </si>
  <si>
    <t>Size</t>
  </si>
  <si>
    <t>Psc Checked/Reject</t>
  </si>
  <si>
    <t>Defects found</t>
  </si>
  <si>
    <t>Inform To</t>
  </si>
  <si>
    <t>Daily QC Record (Tailor Defects)</t>
  </si>
  <si>
    <t>Style</t>
  </si>
  <si>
    <t>Pcs Checked/Reject</t>
  </si>
  <si>
    <t>Defects Found</t>
  </si>
  <si>
    <t>Internal Quality Check (Finishing &amp; Trimming)</t>
  </si>
  <si>
    <t>Checker Code</t>
  </si>
  <si>
    <t>Total Pcs Checked</t>
  </si>
  <si>
    <t>Total Defect Pcs</t>
  </si>
  <si>
    <t>Transferred Back To Unit</t>
  </si>
  <si>
    <t>Master - Stitching Units</t>
  </si>
  <si>
    <t>Master - Employee (unique ID)</t>
  </si>
  <si>
    <t>Approved/Rejected</t>
  </si>
  <si>
    <t>if Rejected</t>
  </si>
  <si>
    <t>Re-trim and resubmit</t>
  </si>
  <si>
    <t>Hem re-stitch</t>
  </si>
  <si>
    <t>Labels attached at finishing</t>
  </si>
  <si>
    <t>Gusset seam open</t>
  </si>
  <si>
    <t>Spot cleaned</t>
  </si>
  <si>
    <t xml:space="preserve">Internal Record </t>
  </si>
  <si>
    <t>Name</t>
  </si>
  <si>
    <t>Total Defect</t>
  </si>
  <si>
    <t>Defect type</t>
  </si>
  <si>
    <t>Checker code range:</t>
  </si>
  <si>
    <t>1-25</t>
  </si>
  <si>
    <t xml:space="preserve">Date </t>
  </si>
  <si>
    <t>Checked Psc</t>
  </si>
  <si>
    <t>Handle out</t>
  </si>
  <si>
    <t>Handle size</t>
  </si>
  <si>
    <t>Handle Alter</t>
  </si>
  <si>
    <t>Slanted Lable</t>
  </si>
  <si>
    <t>Wrong side lupi</t>
  </si>
  <si>
    <t>Weaving defect</t>
  </si>
  <si>
    <t>Cut/hole</t>
  </si>
  <si>
    <t>without stich</t>
  </si>
  <si>
    <t xml:space="preserve">Torn </t>
  </si>
  <si>
    <t>Strain</t>
  </si>
  <si>
    <t>Alter</t>
  </si>
  <si>
    <t>Total pieces passed</t>
  </si>
  <si>
    <t>Projected</t>
  </si>
  <si>
    <t>Defects %</t>
  </si>
  <si>
    <t>master of defects (manul entry in int )</t>
  </si>
  <si>
    <t>Role Acess - QC Dept (External Agency)</t>
  </si>
  <si>
    <t>Secondary Checking by External Agency</t>
  </si>
  <si>
    <t>External Agency</t>
  </si>
  <si>
    <t>Approved Qty</t>
  </si>
  <si>
    <t xml:space="preserve">Rejected Qty </t>
  </si>
  <si>
    <t xml:space="preserve">Sent for </t>
  </si>
  <si>
    <t>Defect found</t>
  </si>
  <si>
    <t>Rejected %</t>
  </si>
  <si>
    <t>Alteration, spot rectification</t>
  </si>
  <si>
    <t>Rejected Qty / Total Pcs Checked</t>
  </si>
  <si>
    <t>110 to alteration</t>
  </si>
  <si>
    <t>80 to alteration</t>
  </si>
  <si>
    <t>130 to alteration</t>
  </si>
  <si>
    <t>Gusset seam</t>
  </si>
  <si>
    <t>140 to alteration</t>
  </si>
  <si>
    <t xml:space="preserve">Alter Record </t>
  </si>
  <si>
    <t>Time</t>
  </si>
  <si>
    <t>Output</t>
  </si>
  <si>
    <t>Pass/ok</t>
  </si>
  <si>
    <t>Alter piece</t>
  </si>
  <si>
    <t>Alter%</t>
  </si>
  <si>
    <t>Auto capture</t>
  </si>
  <si>
    <t>trigger on submit button</t>
  </si>
  <si>
    <t>count of pieces passed after alteration</t>
  </si>
  <si>
    <t>int</t>
  </si>
  <si>
    <t>Handle re-attach</t>
  </si>
  <si>
    <t>Thread trimming</t>
  </si>
  <si>
    <t>Label position off</t>
  </si>
  <si>
    <t>Gusset seam closed</t>
  </si>
  <si>
    <t>Stain removal</t>
  </si>
  <si>
    <t>Print misalignment - moved to scrap</t>
  </si>
  <si>
    <t>Role Acess - QC / Packing Dept</t>
  </si>
  <si>
    <t>Spot Rectification &amp; Scrap / Online Sale</t>
  </si>
  <si>
    <t>Qty Received for Rectification</t>
  </si>
  <si>
    <t>Sold Online-Domestic Qty</t>
  </si>
  <si>
    <t>Scrap Qty</t>
  </si>
  <si>
    <t>Scrap % of Consignment</t>
  </si>
  <si>
    <t>Scrap Qty / Order Qty from the Order sheet (2-3% norm)</t>
  </si>
  <si>
    <t>18 reissued to stitching</t>
  </si>
  <si>
    <t>25 reissued</t>
  </si>
  <si>
    <t>Gusset defects</t>
  </si>
  <si>
    <t>28 reissued</t>
  </si>
  <si>
    <t>Print defects - scrap</t>
  </si>
  <si>
    <t>Rejected Record Format</t>
  </si>
  <si>
    <t>Order  No</t>
  </si>
  <si>
    <t>Packed Qty</t>
  </si>
  <si>
    <t>Check By</t>
  </si>
  <si>
    <t>Reason of defect</t>
  </si>
  <si>
    <t>manaul</t>
  </si>
  <si>
    <t>Role Acess - Packing Dept (Operator)</t>
  </si>
  <si>
    <t>Packing Format</t>
  </si>
  <si>
    <t>STYLE</t>
  </si>
  <si>
    <t>Stiched Qty</t>
  </si>
  <si>
    <t>Loose Packed</t>
  </si>
  <si>
    <t>Packed Today</t>
  </si>
  <si>
    <t>Total Qty</t>
  </si>
  <si>
    <t>Box Packed</t>
  </si>
  <si>
    <t>Today Packed</t>
  </si>
  <si>
    <t>Total Box</t>
  </si>
  <si>
    <t>I5+J5</t>
  </si>
  <si>
    <t>formulla</t>
  </si>
  <si>
    <t>Needle Checking &amp; Packet Recheck</t>
  </si>
  <si>
    <t xml:space="preserve">Needle Found </t>
  </si>
  <si>
    <t>No of needle found</t>
  </si>
  <si>
    <t>All packets cleared</t>
  </si>
  <si>
    <t>Packet 18 - rechecked, needle removed</t>
  </si>
  <si>
    <t>Packets 22 &amp; 31 - full recheck done</t>
  </si>
  <si>
    <t>Packet 07 - rechecked</t>
  </si>
  <si>
    <t>Role Acess - Dispatch Dept (Manager)</t>
  </si>
  <si>
    <t>Dispatch / Shipment Record</t>
  </si>
  <si>
    <t>Invoice No</t>
  </si>
  <si>
    <t>Total Boxes</t>
  </si>
  <si>
    <t>Carrier / AWB-BL No</t>
  </si>
  <si>
    <t>ETA</t>
  </si>
  <si>
    <t>from Order</t>
  </si>
  <si>
    <t>from Packing</t>
  </si>
  <si>
    <t>Pending/Dispatched/Delivered</t>
  </si>
  <si>
    <t>INV-2026-101</t>
  </si>
  <si>
    <t>MAEU-4471203</t>
  </si>
  <si>
    <t>Full container</t>
  </si>
  <si>
    <t>INV-2026-102</t>
  </si>
  <si>
    <t>MAEU-4471288</t>
  </si>
  <si>
    <t>INV-2026-103</t>
  </si>
  <si>
    <t>MSCU-8823401</t>
  </si>
  <si>
    <t>Part shipment</t>
  </si>
  <si>
    <t>INV-2026-104</t>
  </si>
  <si>
    <t>HLCU-3390122</t>
  </si>
  <si>
    <t>Awaiting balance qty</t>
  </si>
  <si>
    <t>INV-2026-105</t>
  </si>
  <si>
    <t>AWB-176-88420</t>
  </si>
  <si>
    <t>Air - urgent</t>
  </si>
  <si>
    <t>INV-2026-106</t>
  </si>
  <si>
    <t>Production not started</t>
  </si>
  <si>
    <t>INV-2026-107</t>
  </si>
  <si>
    <t>Role Acess - Planning Dept (GM)</t>
  </si>
  <si>
    <t>Cutting - Stitching - Packing Reconciliation</t>
  </si>
  <si>
    <t>Stitched Pcs Received</t>
  </si>
  <si>
    <t>Alter Pcs</t>
  </si>
  <si>
    <t>Scrap Pcs</t>
  </si>
  <si>
    <t>Rejected Pcs</t>
  </si>
  <si>
    <t>Packed Pcs</t>
  </si>
  <si>
    <t>Variance</t>
  </si>
  <si>
    <t>from Cutting Issue</t>
  </si>
  <si>
    <t>from Stiching Record</t>
  </si>
  <si>
    <t>from Alter Report</t>
  </si>
  <si>
    <t>from Spot Rectification-Scrap</t>
  </si>
  <si>
    <t>from Rejected</t>
  </si>
  <si>
    <t>Cutting Issued - Stitched - Scrap - Rejected  (balance = WIP)</t>
  </si>
  <si>
    <t>Matched/Variance Found</t>
  </si>
  <si>
    <t>54 pcs WIP at Unit 1</t>
  </si>
  <si>
    <t>81 pcs WIP at Unit 2</t>
  </si>
  <si>
    <t>Lot 2 of 4000 not yet cut; 48 pcs WIP</t>
  </si>
  <si>
    <t>Lot 1 of 10000; 80 pcs WIP</t>
  </si>
  <si>
    <t>39 pcs WIP - printed panels</t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</si>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</sst>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"/>
    <numFmt numFmtId="165" formatCode="d\-mmm"/>
    <numFmt numFmtId="166" formatCode="h:mm"/>
    <numFmt numFmtId="167" formatCode="mmm\-yy"/>
  </numFmts>
  <fonts count="24" x14ac:knownFonts="1">
    <font>
      <sz val="11"/>
      <color theme="1"/>
      <name val="Aptos Narrow"/>
      <family val="2"/>
      <charset val="1"/>
    </font>
    <font>
      <b/>
      <sz val="16"/>
      <name val="Aptos Narrow"/>
      <charset val="1"/>
    </font>
    <font>
      <b/>
      <sz val="12"/>
      <name val="Aptos Narrow"/>
      <charset val="1"/>
    </font>
    <font>
      <sz val="11"/>
      <name val="Aptos Narrow"/>
      <charset val="1"/>
    </font>
    <font>
      <sz val="11"/>
      <color rgb="FF000000"/>
      <name val="Aptos Narrow"/>
      <charset val="1"/>
    </font>
    <font>
      <b/>
      <sz val="16"/>
      <color rgb="FF000000"/>
      <name val="Aptos Narrow"/>
      <charset val="1"/>
    </font>
    <font>
      <b/>
      <sz val="12"/>
      <color rgb="FF000000"/>
      <name val="Aptos Narrow"/>
      <charset val="1"/>
    </font>
    <font>
      <b/>
      <sz val="14"/>
      <color theme="1"/>
      <name val="Aptos Narrow"/>
      <family val="2"/>
      <charset val="1"/>
    </font>
    <font>
      <sz val="11"/>
      <color rgb="FF196B24"/>
      <name val="Aptos Narrow"/>
      <charset val="1"/>
    </font>
    <font>
      <sz val="11"/>
      <color rgb="FFC00000"/>
      <name val="Aptos Narrow"/>
      <charset val="1"/>
    </font>
    <font>
      <sz val="11"/>
      <color rgb="FF0070C0"/>
      <name val="Aptos Narrow"/>
      <charset val="1"/>
    </font>
    <font>
      <sz val="11"/>
      <color rgb="FF78206E"/>
      <name val="Aptos Narrow"/>
      <charset val="1"/>
    </font>
    <font>
      <sz val="11"/>
      <name val="Cambria"/>
      <charset val="1"/>
    </font>
    <font>
      <b/>
      <sz val="10"/>
      <color theme="1"/>
      <name val="Aptos Narrow"/>
      <family val="2"/>
      <charset val="1"/>
    </font>
    <font>
      <b/>
      <sz val="16"/>
      <color theme="1"/>
      <name val="Aptos Narrow"/>
      <family val="2"/>
      <charset val="1"/>
    </font>
    <font>
      <b/>
      <sz val="12"/>
      <color theme="1"/>
      <name val="Aptos Narrow"/>
      <family val="2"/>
      <charset val="1"/>
    </font>
    <font>
      <sz val="11"/>
      <color rgb="FFFF0000"/>
      <name val="Aptos Narrow"/>
      <family val="2"/>
    </font>
    <font>
      <sz val="11"/>
      <color rgb="FF0070C0"/>
      <name val="Aptos Narrow"/>
      <family val="2"/>
    </font>
    <font>
      <sz val="12"/>
      <color rgb="FF000000"/>
      <name val="Aptos Narrow"/>
      <family val="2"/>
    </font>
    <font>
      <sz val="11"/>
      <color rgb="FFC00000"/>
      <name val="Aptos Narrow"/>
      <family val="2"/>
    </font>
    <font>
      <b/>
      <sz val="11"/>
      <color rgb="FF196B24"/>
      <name val="Aptos Narrow"/>
      <family val="2"/>
    </font>
    <font>
      <b/>
      <sz val="11"/>
      <color rgb="FFFF0000"/>
      <name val="Aptos Narrow"/>
      <family val="2"/>
    </font>
    <font>
      <sz val="11"/>
      <color theme="3" tint="0.249977111117893"/>
      <name val="Aptos Narrow"/>
      <family val="2"/>
      <charset val="1"/>
    </font>
    <font>
      <sz val="11"/>
      <color rgb="FF196B24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9F2D0"/>
        <bgColor rgb="FFCC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4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4" fillId="0" borderId="0" xfId="0" applyFont="1"/>
    <xf numFmtId="0" fontId="3" fillId="0" borderId="1" xfId="0" applyFont="1" applyBorder="1" applyAlignment="1">
      <alignment wrapText="1"/>
    </xf>
    <xf numFmtId="164" fontId="3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2" fillId="0" borderId="0" xfId="0" applyFont="1"/>
    <xf numFmtId="0" fontId="10" fillId="0" borderId="1" xfId="0" applyFont="1" applyBorder="1"/>
    <xf numFmtId="0" fontId="9" fillId="0" borderId="1" xfId="0" applyFont="1" applyBorder="1"/>
    <xf numFmtId="0" fontId="7" fillId="0" borderId="0" xfId="0" applyFont="1" applyAlignment="1">
      <alignment horizontal="center"/>
    </xf>
    <xf numFmtId="165" fontId="6" fillId="2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center" wrapText="1"/>
    </xf>
    <xf numFmtId="0" fontId="8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4" fontId="3" fillId="0" borderId="1" xfId="0" applyNumberFormat="1" applyFont="1" applyBorder="1" applyAlignment="1">
      <alignment horizontal="center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/>
    </xf>
    <xf numFmtId="10" fontId="3" fillId="0" borderId="1" xfId="0" applyNumberFormat="1" applyFont="1" applyBorder="1" applyAlignment="1">
      <alignment horizontal="center"/>
    </xf>
    <xf numFmtId="0" fontId="9" fillId="0" borderId="0" xfId="0" applyFont="1" applyAlignment="1">
      <alignment horizontal="left"/>
    </xf>
    <xf numFmtId="0" fontId="14" fillId="0" borderId="0" xfId="0" applyFont="1" applyAlignment="1">
      <alignment horizontal="center" vertical="center"/>
    </xf>
    <xf numFmtId="0" fontId="8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10" fillId="0" borderId="0" xfId="0" applyFont="1"/>
    <xf numFmtId="0" fontId="8" fillId="0" borderId="0" xfId="0" applyFont="1" applyAlignment="1">
      <alignment wrapText="1"/>
    </xf>
    <xf numFmtId="0" fontId="0" fillId="0" borderId="0" xfId="0" applyAlignment="1">
      <alignment wrapText="1"/>
    </xf>
    <xf numFmtId="0" fontId="15" fillId="0" borderId="0" xfId="0" applyFont="1" applyAlignment="1">
      <alignment horizontal="center" vertical="center"/>
    </xf>
    <xf numFmtId="166" fontId="6" fillId="2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8" fillId="0" borderId="0" xfId="0" applyFont="1"/>
    <xf numFmtId="0" fontId="9" fillId="0" borderId="0" xfId="0" applyFont="1"/>
    <xf numFmtId="2" fontId="0" fillId="0" borderId="0" xfId="0" applyNumberFormat="1"/>
    <xf numFmtId="2" fontId="6" fillId="2" borderId="1" xfId="0" applyNumberFormat="1" applyFont="1" applyFill="1" applyBorder="1" applyAlignment="1">
      <alignment horizontal="center" vertical="center"/>
    </xf>
    <xf numFmtId="2" fontId="0" fillId="0" borderId="1" xfId="0" applyNumberFormat="1" applyBorder="1"/>
    <xf numFmtId="167" fontId="3" fillId="0" borderId="1" xfId="0" applyNumberFormat="1" applyFont="1" applyBorder="1"/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16" fillId="0" borderId="1" xfId="0" applyFont="1" applyBorder="1"/>
    <xf numFmtId="0" fontId="17" fillId="0" borderId="1" xfId="0" applyFont="1" applyBorder="1"/>
    <xf numFmtId="0" fontId="22" fillId="0" borderId="1" xfId="0" applyFont="1" applyBorder="1"/>
    <xf numFmtId="0" fontId="23" fillId="0" borderId="1" xfId="0" applyFont="1" applyBorder="1"/>
    <xf numFmtId="0" fontId="19" fillId="0" borderId="1" xfId="0" applyFont="1" applyBorder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2" borderId="1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808000"/>
      <rgbColor rgb="FF800080"/>
      <rgbColor rgb="FF156082"/>
      <rgbColor rgb="FFC0C0C0"/>
      <rgbColor rgb="FF808080"/>
      <rgbColor rgb="FF9999FF"/>
      <rgbColor rgb="FF78206E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showGridLines="0" zoomScaleNormal="100" workbookViewId="0"/>
  </sheetViews>
  <sheetFormatPr defaultColWidth="8.5546875" defaultRowHeight="14.4" x14ac:dyDescent="0.3"/>
  <cols>
    <col min="1" max="1" width="26" customWidth="1"/>
    <col min="2" max="2" width="110" customWidth="1"/>
  </cols>
  <sheetData>
    <row r="1" spans="1:2" ht="21" customHeight="1" x14ac:dyDescent="0.4">
      <c r="A1" s="3" t="s">
        <v>0</v>
      </c>
    </row>
    <row r="3" spans="1:2" ht="15" customHeight="1" x14ac:dyDescent="0.3">
      <c r="A3" s="4" t="s">
        <v>1</v>
      </c>
    </row>
    <row r="4" spans="1:2" ht="14.25" customHeight="1" x14ac:dyDescent="0.3">
      <c r="A4" s="5"/>
      <c r="B4" s="6"/>
    </row>
    <row r="5" spans="1:2" ht="31.5" customHeight="1" x14ac:dyDescent="0.3">
      <c r="A5" s="7" t="s">
        <v>2</v>
      </c>
      <c r="B5" s="6" t="s">
        <v>3</v>
      </c>
    </row>
    <row r="6" spans="1:2" ht="60" customHeight="1" x14ac:dyDescent="0.3">
      <c r="A6" s="7" t="s">
        <v>4</v>
      </c>
      <c r="B6" s="6" t="s">
        <v>5</v>
      </c>
    </row>
    <row r="7" spans="1:2" ht="60" customHeight="1" x14ac:dyDescent="0.3">
      <c r="A7" s="5"/>
      <c r="B7" s="6" t="s">
        <v>6</v>
      </c>
    </row>
    <row r="8" spans="1:2" ht="60" customHeight="1" x14ac:dyDescent="0.3">
      <c r="A8" s="7" t="s">
        <v>7</v>
      </c>
      <c r="B8" s="6" t="s">
        <v>8</v>
      </c>
    </row>
    <row r="9" spans="1:2" ht="31.5" customHeight="1" x14ac:dyDescent="0.3">
      <c r="A9" s="7" t="s">
        <v>9</v>
      </c>
      <c r="B9" s="6" t="s">
        <v>10</v>
      </c>
    </row>
    <row r="10" spans="1:2" ht="60" customHeight="1" x14ac:dyDescent="0.3">
      <c r="A10" s="7" t="s">
        <v>11</v>
      </c>
      <c r="B10" s="6" t="s">
        <v>12</v>
      </c>
    </row>
    <row r="11" spans="1:2" ht="60" customHeight="1" x14ac:dyDescent="0.3">
      <c r="A11" s="7" t="s">
        <v>13</v>
      </c>
      <c r="B11" s="6" t="s">
        <v>14</v>
      </c>
    </row>
    <row r="12" spans="1:2" ht="60" customHeight="1" x14ac:dyDescent="0.3">
      <c r="A12" s="7" t="s">
        <v>15</v>
      </c>
      <c r="B12" s="6" t="s">
        <v>16</v>
      </c>
    </row>
    <row r="13" spans="1:2" ht="60" customHeight="1" x14ac:dyDescent="0.3">
      <c r="A13" s="7" t="s">
        <v>17</v>
      </c>
      <c r="B13" s="6" t="s">
        <v>18</v>
      </c>
    </row>
    <row r="14" spans="1:2" ht="14.25" customHeight="1" x14ac:dyDescent="0.3">
      <c r="A14" s="5"/>
      <c r="B14" s="6"/>
    </row>
    <row r="15" spans="1:2" ht="14.25" customHeight="1" x14ac:dyDescent="0.3">
      <c r="A15" s="5" t="s">
        <v>19</v>
      </c>
      <c r="B15" s="6"/>
    </row>
    <row r="16" spans="1:2" ht="60" customHeight="1" x14ac:dyDescent="0.3">
      <c r="A16" s="7" t="s">
        <v>20</v>
      </c>
      <c r="B16" s="6" t="s">
        <v>21</v>
      </c>
    </row>
    <row r="17" spans="1:2" ht="60" customHeight="1" x14ac:dyDescent="0.3">
      <c r="A17" s="7" t="s">
        <v>22</v>
      </c>
      <c r="B17" s="6" t="s">
        <v>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56082"/>
  </sheetPr>
  <dimension ref="A1:AR20"/>
  <sheetViews>
    <sheetView showGridLines="0" topLeftCell="L1" zoomScaleNormal="100" workbookViewId="0">
      <pane ySplit="4" topLeftCell="A5" activePane="bottomLeft" state="frozen"/>
      <selection activeCell="L1" sqref="L1"/>
      <selection pane="bottomLeft" activeCell="Q4" sqref="Q4"/>
    </sheetView>
  </sheetViews>
  <sheetFormatPr defaultColWidth="8.5546875" defaultRowHeight="14.4" x14ac:dyDescent="0.3"/>
  <cols>
    <col min="1" max="4" width="32" customWidth="1"/>
    <col min="5" max="5" width="20" customWidth="1"/>
    <col min="6" max="6" width="16" customWidth="1"/>
    <col min="7" max="7" width="17" customWidth="1"/>
    <col min="8" max="8" width="16" customWidth="1"/>
    <col min="9" max="9" width="19" customWidth="1"/>
    <col min="10" max="15" width="16" customWidth="1"/>
    <col min="16" max="16" width="21" customWidth="1"/>
    <col min="17" max="19" width="16" customWidth="1"/>
    <col min="20" max="20" width="17" customWidth="1"/>
    <col min="21" max="21" width="18" customWidth="1"/>
    <col min="22" max="22" width="24" customWidth="1"/>
    <col min="23" max="34" width="16" customWidth="1"/>
    <col min="35" max="35" width="20" customWidth="1"/>
    <col min="36" max="36" width="18" customWidth="1"/>
    <col min="37" max="37" width="25" customWidth="1"/>
    <col min="38" max="38" width="20" customWidth="1"/>
    <col min="39" max="40" width="16" customWidth="1"/>
    <col min="41" max="41" width="18" customWidth="1"/>
    <col min="42" max="42" width="16" customWidth="1"/>
  </cols>
  <sheetData>
    <row r="1" spans="1:44" ht="21" customHeight="1" x14ac:dyDescent="0.3">
      <c r="A1" s="8" t="s">
        <v>24</v>
      </c>
      <c r="C1" s="77" t="s">
        <v>25</v>
      </c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</row>
    <row r="2" spans="1:44" ht="21" customHeight="1" x14ac:dyDescent="0.3">
      <c r="A2" s="2"/>
      <c r="C2" s="78" t="s">
        <v>26</v>
      </c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  <c r="AM2" s="78"/>
      <c r="AN2" s="78"/>
      <c r="AO2" s="78"/>
      <c r="AP2" s="78"/>
      <c r="AQ2" s="78"/>
      <c r="AR2" s="78"/>
    </row>
    <row r="4" spans="1:44" ht="30" customHeight="1" x14ac:dyDescent="0.3">
      <c r="A4" s="9" t="s">
        <v>27</v>
      </c>
      <c r="B4" s="9" t="s">
        <v>28</v>
      </c>
      <c r="C4" s="9" t="s">
        <v>29</v>
      </c>
      <c r="D4" s="9" t="s">
        <v>30</v>
      </c>
      <c r="E4" s="9" t="s">
        <v>31</v>
      </c>
      <c r="F4" s="9" t="s">
        <v>32</v>
      </c>
      <c r="G4" s="9" t="s">
        <v>33</v>
      </c>
      <c r="H4" s="9" t="s">
        <v>34</v>
      </c>
      <c r="I4" s="9" t="s">
        <v>35</v>
      </c>
      <c r="J4" s="9" t="s">
        <v>36</v>
      </c>
      <c r="K4" s="9" t="s">
        <v>37</v>
      </c>
      <c r="L4" s="9" t="s">
        <v>38</v>
      </c>
      <c r="M4" s="9" t="s">
        <v>39</v>
      </c>
      <c r="N4" s="9" t="s">
        <v>40</v>
      </c>
      <c r="O4" s="9" t="s">
        <v>41</v>
      </c>
      <c r="P4" s="9" t="s">
        <v>42</v>
      </c>
      <c r="Q4" s="9" t="s">
        <v>43</v>
      </c>
      <c r="R4" s="9" t="s">
        <v>44</v>
      </c>
      <c r="S4" s="9" t="s">
        <v>45</v>
      </c>
      <c r="T4" s="9" t="s">
        <v>46</v>
      </c>
      <c r="U4" s="9" t="s">
        <v>47</v>
      </c>
      <c r="V4" s="9" t="s">
        <v>48</v>
      </c>
      <c r="W4" s="9" t="s">
        <v>49</v>
      </c>
      <c r="X4" s="9" t="s">
        <v>50</v>
      </c>
      <c r="Y4" s="9" t="s">
        <v>51</v>
      </c>
      <c r="Z4" s="9" t="s">
        <v>52</v>
      </c>
      <c r="AA4" s="9" t="s">
        <v>53</v>
      </c>
      <c r="AB4" s="9" t="s">
        <v>54</v>
      </c>
      <c r="AC4" s="9" t="s">
        <v>55</v>
      </c>
      <c r="AD4" s="9" t="s">
        <v>56</v>
      </c>
      <c r="AE4" s="9" t="s">
        <v>57</v>
      </c>
      <c r="AF4" s="9" t="s">
        <v>58</v>
      </c>
      <c r="AG4" s="9" t="s">
        <v>59</v>
      </c>
      <c r="AH4" s="9" t="s">
        <v>60</v>
      </c>
      <c r="AI4" s="9" t="s">
        <v>61</v>
      </c>
      <c r="AJ4" s="9" t="s">
        <v>62</v>
      </c>
      <c r="AK4" s="9" t="s">
        <v>63</v>
      </c>
      <c r="AL4" s="9" t="s">
        <v>64</v>
      </c>
      <c r="AM4" s="9" t="s">
        <v>65</v>
      </c>
      <c r="AN4" s="9" t="s">
        <v>66</v>
      </c>
      <c r="AO4" s="9" t="s">
        <v>67</v>
      </c>
      <c r="AP4" s="9" t="s">
        <v>68</v>
      </c>
    </row>
    <row r="5" spans="1:44" ht="14.25" customHeight="1" x14ac:dyDescent="0.3">
      <c r="A5" s="10" t="s">
        <v>69</v>
      </c>
      <c r="B5" s="10" t="s">
        <v>70</v>
      </c>
      <c r="C5" s="10" t="s">
        <v>71</v>
      </c>
      <c r="D5" s="10" t="s">
        <v>72</v>
      </c>
      <c r="E5" s="10" t="s">
        <v>73</v>
      </c>
      <c r="F5" s="10" t="s">
        <v>74</v>
      </c>
      <c r="G5" s="10" t="s">
        <v>75</v>
      </c>
      <c r="H5" s="10" t="s">
        <v>76</v>
      </c>
      <c r="I5" s="10" t="s">
        <v>77</v>
      </c>
      <c r="J5" s="10" t="s">
        <v>78</v>
      </c>
      <c r="K5" s="10" t="s">
        <v>79</v>
      </c>
      <c r="L5" s="10" t="s">
        <v>80</v>
      </c>
      <c r="M5" s="10" t="s">
        <v>81</v>
      </c>
      <c r="N5" s="10" t="s">
        <v>82</v>
      </c>
      <c r="O5" s="10" t="s">
        <v>83</v>
      </c>
      <c r="P5" s="10" t="s">
        <v>84</v>
      </c>
      <c r="Q5" s="10" t="s">
        <v>85</v>
      </c>
      <c r="R5" s="10" t="s">
        <v>86</v>
      </c>
      <c r="S5" s="10" t="s">
        <v>87</v>
      </c>
      <c r="T5" s="10" t="s">
        <v>88</v>
      </c>
      <c r="U5" s="10" t="s">
        <v>89</v>
      </c>
      <c r="V5" s="10" t="s">
        <v>90</v>
      </c>
      <c r="W5" s="10" t="s">
        <v>91</v>
      </c>
      <c r="X5" s="10" t="s">
        <v>91</v>
      </c>
      <c r="Y5" s="10" t="s">
        <v>92</v>
      </c>
      <c r="Z5" s="10" t="s">
        <v>93</v>
      </c>
      <c r="AA5" s="10" t="s">
        <v>73</v>
      </c>
      <c r="AB5" s="10" t="s">
        <v>94</v>
      </c>
      <c r="AC5" s="10" t="s">
        <v>95</v>
      </c>
      <c r="AD5" s="10" t="s">
        <v>96</v>
      </c>
      <c r="AE5" s="10" t="s">
        <v>97</v>
      </c>
      <c r="AF5" s="10" t="s">
        <v>98</v>
      </c>
      <c r="AG5" s="10" t="s">
        <v>91</v>
      </c>
      <c r="AH5" s="10" t="s">
        <v>99</v>
      </c>
      <c r="AI5" s="10" t="s">
        <v>100</v>
      </c>
      <c r="AJ5" s="10" t="s">
        <v>101</v>
      </c>
      <c r="AK5" s="10" t="s">
        <v>102</v>
      </c>
      <c r="AL5" s="10" t="s">
        <v>103</v>
      </c>
      <c r="AM5" s="10" t="s">
        <v>104</v>
      </c>
      <c r="AN5" s="10" t="s">
        <v>91</v>
      </c>
      <c r="AO5" s="10" t="s">
        <v>105</v>
      </c>
      <c r="AP5" s="10" t="s">
        <v>87</v>
      </c>
    </row>
    <row r="6" spans="1:44" ht="14.25" customHeight="1" x14ac:dyDescent="0.3">
      <c r="A6" s="10" t="s">
        <v>106</v>
      </c>
      <c r="B6" s="10" t="s">
        <v>107</v>
      </c>
      <c r="C6" s="10" t="s">
        <v>108</v>
      </c>
      <c r="D6" s="10" t="s">
        <v>109</v>
      </c>
      <c r="E6" s="10" t="s">
        <v>110</v>
      </c>
      <c r="F6" s="10" t="s">
        <v>111</v>
      </c>
      <c r="G6" s="10" t="s">
        <v>112</v>
      </c>
      <c r="H6" s="10" t="s">
        <v>113</v>
      </c>
      <c r="I6" s="10" t="s">
        <v>114</v>
      </c>
      <c r="J6" s="10" t="s">
        <v>115</v>
      </c>
      <c r="K6" s="10" t="s">
        <v>116</v>
      </c>
      <c r="L6" s="10" t="s">
        <v>117</v>
      </c>
      <c r="M6" s="10" t="s">
        <v>118</v>
      </c>
      <c r="N6" s="10" t="s">
        <v>119</v>
      </c>
      <c r="O6" s="10" t="s">
        <v>120</v>
      </c>
      <c r="P6" s="10" t="s">
        <v>121</v>
      </c>
      <c r="Q6" s="10" t="s">
        <v>122</v>
      </c>
      <c r="R6" s="10" t="s">
        <v>123</v>
      </c>
      <c r="S6" s="10" t="s">
        <v>86</v>
      </c>
      <c r="T6" s="10" t="s">
        <v>86</v>
      </c>
      <c r="U6" s="10" t="s">
        <v>124</v>
      </c>
      <c r="V6" s="10" t="s">
        <v>125</v>
      </c>
      <c r="W6" s="10" t="s">
        <v>126</v>
      </c>
      <c r="X6" s="10" t="s">
        <v>93</v>
      </c>
      <c r="Y6" s="10" t="s">
        <v>127</v>
      </c>
      <c r="Z6" s="10" t="s">
        <v>128</v>
      </c>
      <c r="AA6" s="10" t="s">
        <v>110</v>
      </c>
      <c r="AB6" s="10" t="s">
        <v>129</v>
      </c>
      <c r="AC6" s="10" t="s">
        <v>130</v>
      </c>
      <c r="AD6" s="10" t="s">
        <v>131</v>
      </c>
      <c r="AE6" s="10" t="s">
        <v>132</v>
      </c>
      <c r="AF6" s="10" t="s">
        <v>133</v>
      </c>
      <c r="AG6" s="10" t="s">
        <v>134</v>
      </c>
      <c r="AH6" s="10" t="s">
        <v>135</v>
      </c>
      <c r="AI6" s="10" t="s">
        <v>136</v>
      </c>
      <c r="AJ6" s="10" t="s">
        <v>137</v>
      </c>
      <c r="AK6" s="10" t="s">
        <v>138</v>
      </c>
      <c r="AL6" s="10" t="s">
        <v>139</v>
      </c>
      <c r="AM6" s="10" t="s">
        <v>140</v>
      </c>
      <c r="AN6" s="10" t="s">
        <v>141</v>
      </c>
      <c r="AO6" s="10" t="s">
        <v>142</v>
      </c>
      <c r="AP6" s="10" t="s">
        <v>143</v>
      </c>
    </row>
    <row r="7" spans="1:44" ht="14.25" customHeight="1" x14ac:dyDescent="0.3">
      <c r="A7" s="10" t="s">
        <v>144</v>
      </c>
      <c r="B7" s="10" t="s">
        <v>145</v>
      </c>
      <c r="C7" s="10" t="s">
        <v>146</v>
      </c>
      <c r="D7" s="10" t="s">
        <v>147</v>
      </c>
      <c r="E7" s="10" t="s">
        <v>148</v>
      </c>
      <c r="F7" s="10" t="s">
        <v>149</v>
      </c>
      <c r="G7" s="10" t="s">
        <v>150</v>
      </c>
      <c r="H7" s="10" t="s">
        <v>151</v>
      </c>
      <c r="I7" s="10" t="s">
        <v>152</v>
      </c>
      <c r="J7" s="10" t="s">
        <v>153</v>
      </c>
      <c r="K7" s="10" t="s">
        <v>154</v>
      </c>
      <c r="L7" s="10" t="s">
        <v>155</v>
      </c>
      <c r="M7" s="10" t="s">
        <v>156</v>
      </c>
      <c r="N7" s="10" t="s">
        <v>87</v>
      </c>
      <c r="O7" s="10" t="s">
        <v>157</v>
      </c>
      <c r="P7" s="10" t="s">
        <v>158</v>
      </c>
      <c r="Q7" s="10" t="s">
        <v>159</v>
      </c>
      <c r="R7" s="10" t="s">
        <v>160</v>
      </c>
      <c r="S7" s="10" t="s">
        <v>123</v>
      </c>
      <c r="T7" s="10" t="s">
        <v>123</v>
      </c>
      <c r="U7" s="11"/>
      <c r="V7" s="10" t="s">
        <v>161</v>
      </c>
      <c r="W7" s="10" t="s">
        <v>162</v>
      </c>
      <c r="X7" s="10" t="s">
        <v>128</v>
      </c>
      <c r="Y7" s="11"/>
      <c r="Z7" s="10" t="s">
        <v>103</v>
      </c>
      <c r="AA7" s="10" t="s">
        <v>86</v>
      </c>
      <c r="AB7" s="10" t="s">
        <v>163</v>
      </c>
      <c r="AC7" s="10" t="s">
        <v>164</v>
      </c>
      <c r="AD7" s="11"/>
      <c r="AE7" s="11"/>
      <c r="AF7" s="10" t="s">
        <v>165</v>
      </c>
      <c r="AG7" s="10" t="s">
        <v>166</v>
      </c>
      <c r="AH7" s="11"/>
      <c r="AI7" s="10" t="s">
        <v>167</v>
      </c>
      <c r="AJ7" s="10" t="s">
        <v>168</v>
      </c>
      <c r="AK7" s="10" t="s">
        <v>169</v>
      </c>
      <c r="AL7" s="10" t="s">
        <v>170</v>
      </c>
      <c r="AM7" s="11"/>
      <c r="AN7" s="11"/>
      <c r="AO7" s="11"/>
      <c r="AP7" s="10" t="s">
        <v>171</v>
      </c>
    </row>
    <row r="8" spans="1:44" ht="14.25" customHeight="1" x14ac:dyDescent="0.3">
      <c r="A8" s="10" t="s">
        <v>172</v>
      </c>
      <c r="B8" s="10" t="s">
        <v>173</v>
      </c>
      <c r="C8" s="10" t="s">
        <v>174</v>
      </c>
      <c r="D8" s="10" t="s">
        <v>175</v>
      </c>
      <c r="E8" s="10" t="s">
        <v>112</v>
      </c>
      <c r="F8" s="10" t="s">
        <v>176</v>
      </c>
      <c r="G8" s="10" t="s">
        <v>177</v>
      </c>
      <c r="H8" s="10" t="s">
        <v>178</v>
      </c>
      <c r="I8" s="10" t="s">
        <v>179</v>
      </c>
      <c r="J8" s="10" t="s">
        <v>180</v>
      </c>
      <c r="K8" s="10" t="s">
        <v>181</v>
      </c>
      <c r="L8" s="10" t="s">
        <v>182</v>
      </c>
      <c r="M8" s="10" t="s">
        <v>183</v>
      </c>
      <c r="N8" s="10" t="s">
        <v>143</v>
      </c>
      <c r="O8" s="10" t="s">
        <v>167</v>
      </c>
      <c r="P8" s="10" t="s">
        <v>184</v>
      </c>
      <c r="Q8" s="10" t="s">
        <v>185</v>
      </c>
      <c r="R8" s="10" t="s">
        <v>186</v>
      </c>
      <c r="S8" s="10" t="s">
        <v>143</v>
      </c>
      <c r="T8" s="10" t="s">
        <v>187</v>
      </c>
      <c r="U8" s="11"/>
      <c r="V8" s="10" t="s">
        <v>188</v>
      </c>
      <c r="W8" s="10" t="s">
        <v>189</v>
      </c>
      <c r="X8" s="11"/>
      <c r="Y8" s="11"/>
      <c r="Z8" s="11"/>
      <c r="AA8" s="10" t="s">
        <v>123</v>
      </c>
      <c r="AB8" s="10" t="s">
        <v>190</v>
      </c>
      <c r="AC8" s="10" t="s">
        <v>191</v>
      </c>
      <c r="AD8" s="11"/>
      <c r="AE8" s="11"/>
      <c r="AF8" s="11"/>
      <c r="AG8" s="10" t="s">
        <v>192</v>
      </c>
      <c r="AH8" s="11"/>
      <c r="AI8" s="10" t="s">
        <v>193</v>
      </c>
      <c r="AJ8" s="10" t="s">
        <v>194</v>
      </c>
      <c r="AK8" s="10" t="s">
        <v>195</v>
      </c>
      <c r="AL8" s="11"/>
      <c r="AM8" s="11"/>
      <c r="AN8" s="11"/>
      <c r="AO8" s="11"/>
      <c r="AP8" s="11"/>
    </row>
    <row r="9" spans="1:44" ht="14.25" customHeight="1" x14ac:dyDescent="0.3">
      <c r="A9" s="10" t="s">
        <v>196</v>
      </c>
      <c r="B9" s="10" t="s">
        <v>197</v>
      </c>
      <c r="C9" s="11"/>
      <c r="D9" s="10" t="s">
        <v>198</v>
      </c>
      <c r="E9" s="10" t="s">
        <v>199</v>
      </c>
      <c r="F9" s="10" t="s">
        <v>200</v>
      </c>
      <c r="G9" s="10" t="s">
        <v>201</v>
      </c>
      <c r="H9" s="10" t="s">
        <v>202</v>
      </c>
      <c r="I9" s="10" t="s">
        <v>203</v>
      </c>
      <c r="J9" s="10" t="s">
        <v>204</v>
      </c>
      <c r="K9" s="10" t="s">
        <v>205</v>
      </c>
      <c r="L9" s="11"/>
      <c r="M9" s="10" t="s">
        <v>206</v>
      </c>
      <c r="N9" s="10" t="s">
        <v>123</v>
      </c>
      <c r="O9" s="10" t="s">
        <v>207</v>
      </c>
      <c r="P9" s="11"/>
      <c r="Q9" s="10" t="s">
        <v>208</v>
      </c>
      <c r="R9" s="11"/>
      <c r="S9" s="10" t="s">
        <v>209</v>
      </c>
      <c r="T9" s="10" t="s">
        <v>110</v>
      </c>
      <c r="U9" s="11"/>
      <c r="V9" s="10" t="s">
        <v>210</v>
      </c>
      <c r="W9" s="10" t="s">
        <v>211</v>
      </c>
      <c r="X9" s="11"/>
      <c r="Y9" s="11"/>
      <c r="Z9" s="11"/>
      <c r="AA9" s="10" t="s">
        <v>212</v>
      </c>
      <c r="AB9" s="10" t="s">
        <v>213</v>
      </c>
      <c r="AC9" s="10" t="s">
        <v>214</v>
      </c>
      <c r="AD9" s="11"/>
      <c r="AE9" s="11"/>
      <c r="AF9" s="11"/>
      <c r="AG9" s="11"/>
      <c r="AH9" s="11"/>
      <c r="AI9" s="10" t="s">
        <v>96</v>
      </c>
      <c r="AJ9" s="10" t="s">
        <v>215</v>
      </c>
      <c r="AK9" s="10" t="s">
        <v>216</v>
      </c>
      <c r="AL9" s="11"/>
      <c r="AM9" s="11"/>
      <c r="AN9" s="11"/>
      <c r="AO9" s="11"/>
      <c r="AP9" s="11"/>
    </row>
    <row r="10" spans="1:44" ht="14.25" customHeight="1" x14ac:dyDescent="0.3">
      <c r="A10" s="10" t="s">
        <v>217</v>
      </c>
      <c r="B10" s="10" t="s">
        <v>218</v>
      </c>
      <c r="C10" s="11"/>
      <c r="D10" s="10" t="s">
        <v>219</v>
      </c>
      <c r="E10" s="10" t="s">
        <v>220</v>
      </c>
      <c r="F10" s="10" t="s">
        <v>221</v>
      </c>
      <c r="G10" s="10" t="s">
        <v>222</v>
      </c>
      <c r="H10" s="10" t="s">
        <v>223</v>
      </c>
      <c r="I10" s="11"/>
      <c r="J10" s="10" t="s">
        <v>224</v>
      </c>
      <c r="K10" s="11"/>
      <c r="L10" s="11"/>
      <c r="M10" s="11"/>
      <c r="N10" s="10" t="s">
        <v>225</v>
      </c>
      <c r="O10" s="10" t="s">
        <v>226</v>
      </c>
      <c r="P10" s="11"/>
      <c r="Q10" s="11"/>
      <c r="R10" s="11"/>
      <c r="S10" s="10" t="s">
        <v>227</v>
      </c>
      <c r="T10" s="11"/>
      <c r="U10" s="11"/>
      <c r="V10" s="10" t="s">
        <v>228</v>
      </c>
      <c r="W10" s="11"/>
      <c r="X10" s="11"/>
      <c r="Y10" s="11"/>
      <c r="Z10" s="11"/>
      <c r="AA10" s="10" t="s">
        <v>229</v>
      </c>
      <c r="AB10" s="11"/>
      <c r="AC10" s="10" t="s">
        <v>230</v>
      </c>
      <c r="AD10" s="11"/>
      <c r="AE10" s="11"/>
      <c r="AF10" s="11"/>
      <c r="AG10" s="11"/>
      <c r="AH10" s="11"/>
      <c r="AI10" s="11"/>
      <c r="AJ10" s="10" t="s">
        <v>231</v>
      </c>
      <c r="AK10" s="11"/>
      <c r="AL10" s="11"/>
      <c r="AM10" s="11"/>
      <c r="AN10" s="11"/>
      <c r="AO10" s="11"/>
      <c r="AP10" s="11"/>
    </row>
    <row r="11" spans="1:44" ht="14.25" customHeight="1" x14ac:dyDescent="0.3">
      <c r="A11" s="10" t="s">
        <v>232</v>
      </c>
      <c r="B11" s="11"/>
      <c r="C11" s="11"/>
      <c r="D11" s="10" t="s">
        <v>233</v>
      </c>
      <c r="E11" s="10" t="s">
        <v>75</v>
      </c>
      <c r="F11" s="10" t="s">
        <v>234</v>
      </c>
      <c r="G11" s="10" t="s">
        <v>235</v>
      </c>
      <c r="H11" s="10" t="s">
        <v>236</v>
      </c>
      <c r="I11" s="11"/>
      <c r="J11" s="11"/>
      <c r="K11" s="11"/>
      <c r="L11" s="11"/>
      <c r="M11" s="11"/>
      <c r="N11" s="10" t="s">
        <v>237</v>
      </c>
      <c r="O11" s="10" t="s">
        <v>238</v>
      </c>
      <c r="P11" s="11"/>
      <c r="Q11" s="11"/>
      <c r="R11" s="11"/>
      <c r="S11" s="10" t="s">
        <v>239</v>
      </c>
      <c r="T11" s="11"/>
      <c r="U11" s="11"/>
      <c r="V11" s="10" t="s">
        <v>240</v>
      </c>
      <c r="W11" s="11"/>
      <c r="X11" s="11"/>
      <c r="Y11" s="11"/>
      <c r="Z11" s="11"/>
      <c r="AA11" s="10" t="s">
        <v>241</v>
      </c>
      <c r="AB11" s="11"/>
      <c r="AC11" s="10" t="s">
        <v>242</v>
      </c>
      <c r="AD11" s="11"/>
      <c r="AE11" s="11"/>
      <c r="AF11" s="11"/>
      <c r="AG11" s="11"/>
      <c r="AH11" s="11"/>
      <c r="AI11" s="11"/>
      <c r="AJ11" s="10" t="s">
        <v>243</v>
      </c>
      <c r="AK11" s="11"/>
      <c r="AL11" s="11"/>
      <c r="AM11" s="11"/>
      <c r="AN11" s="11"/>
      <c r="AO11" s="11"/>
      <c r="AP11" s="11"/>
    </row>
    <row r="12" spans="1:44" ht="14.25" customHeight="1" x14ac:dyDescent="0.3">
      <c r="A12" s="10" t="s">
        <v>244</v>
      </c>
      <c r="B12" s="11"/>
      <c r="C12" s="11"/>
      <c r="D12" s="11"/>
      <c r="E12" s="10" t="s">
        <v>245</v>
      </c>
      <c r="F12" s="11"/>
      <c r="G12" s="10" t="s">
        <v>246</v>
      </c>
      <c r="H12" s="10" t="s">
        <v>247</v>
      </c>
      <c r="I12" s="11"/>
      <c r="J12" s="11"/>
      <c r="K12" s="11"/>
      <c r="L12" s="11"/>
      <c r="M12" s="11"/>
      <c r="N12" s="10" t="s">
        <v>248</v>
      </c>
      <c r="O12" s="11"/>
      <c r="P12" s="11"/>
      <c r="Q12" s="11"/>
      <c r="R12" s="11"/>
      <c r="S12" s="11"/>
      <c r="T12" s="11"/>
      <c r="U12" s="11"/>
      <c r="V12" s="10" t="s">
        <v>249</v>
      </c>
      <c r="W12" s="11"/>
      <c r="X12" s="11"/>
      <c r="Y12" s="11"/>
      <c r="Z12" s="11"/>
      <c r="AA12" s="10" t="s">
        <v>239</v>
      </c>
      <c r="AB12" s="11"/>
      <c r="AC12" s="11"/>
      <c r="AD12" s="11"/>
      <c r="AE12" s="11"/>
      <c r="AF12" s="11"/>
      <c r="AG12" s="11"/>
      <c r="AH12" s="11"/>
      <c r="AI12" s="11"/>
      <c r="AJ12" s="10" t="s">
        <v>250</v>
      </c>
      <c r="AK12" s="11"/>
      <c r="AL12" s="11"/>
      <c r="AM12" s="11"/>
      <c r="AN12" s="11"/>
      <c r="AO12" s="11"/>
      <c r="AP12" s="11"/>
    </row>
    <row r="13" spans="1:44" ht="14.25" customHeight="1" x14ac:dyDescent="0.3">
      <c r="A13" s="10" t="s">
        <v>251</v>
      </c>
      <c r="B13" s="11"/>
      <c r="C13" s="11"/>
      <c r="D13" s="11"/>
      <c r="E13" s="11"/>
      <c r="F13" s="11"/>
      <c r="G13" s="10" t="s">
        <v>252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0" t="s">
        <v>253</v>
      </c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</row>
    <row r="14" spans="1:44" ht="14.25" customHeight="1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0" t="s">
        <v>254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</row>
    <row r="15" spans="1:44" ht="14.25" customHeight="1" x14ac:dyDescent="0.3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0" t="s">
        <v>255</v>
      </c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</row>
    <row r="16" spans="1:44" ht="14.25" customHeight="1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0" t="s">
        <v>256</v>
      </c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</row>
    <row r="17" spans="1:42" ht="14.2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0" t="s">
        <v>257</v>
      </c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</row>
    <row r="18" spans="1:42" ht="14.2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0" t="s">
        <v>258</v>
      </c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</row>
    <row r="19" spans="1:42" ht="14.25" customHeight="1" x14ac:dyDescent="0.3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0" t="s">
        <v>259</v>
      </c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</row>
    <row r="20" spans="1:42" ht="14.2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0" t="s">
        <v>260</v>
      </c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</row>
  </sheetData>
  <mergeCells count="2">
    <mergeCell ref="C1:AR1"/>
    <mergeCell ref="C2:AR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56082"/>
  </sheetPr>
  <dimension ref="A1:L13"/>
  <sheetViews>
    <sheetView showGridLines="0" zoomScaleNormal="100" workbookViewId="0">
      <pane ySplit="4" topLeftCell="A5" activePane="bottomLeft" state="frozen"/>
      <selection pane="bottomLeft" activeCell="E21" sqref="E21"/>
    </sheetView>
  </sheetViews>
  <sheetFormatPr defaultColWidth="8.5546875" defaultRowHeight="14.4" x14ac:dyDescent="0.3"/>
  <cols>
    <col min="1" max="5" width="16" customWidth="1"/>
    <col min="6" max="8" width="24" customWidth="1"/>
    <col min="9" max="9" width="25" customWidth="1"/>
    <col min="10" max="10" width="17" customWidth="1"/>
  </cols>
  <sheetData>
    <row r="1" spans="1:12" ht="21" customHeight="1" x14ac:dyDescent="0.3">
      <c r="A1" s="8" t="s">
        <v>24</v>
      </c>
      <c r="C1" s="77" t="s">
        <v>25</v>
      </c>
      <c r="D1" s="77"/>
      <c r="E1" s="77"/>
      <c r="F1" s="77"/>
      <c r="G1" s="77"/>
      <c r="H1" s="77"/>
      <c r="I1" s="77"/>
      <c r="J1" s="77"/>
      <c r="K1" s="77"/>
      <c r="L1" s="77"/>
    </row>
    <row r="2" spans="1:12" ht="21" customHeight="1" x14ac:dyDescent="0.3">
      <c r="A2" s="2"/>
      <c r="C2" s="78" t="s">
        <v>261</v>
      </c>
      <c r="D2" s="78"/>
      <c r="E2" s="78"/>
      <c r="F2" s="78"/>
      <c r="G2" s="78"/>
      <c r="H2" s="78"/>
      <c r="I2" s="78"/>
      <c r="J2" s="78"/>
      <c r="K2" s="78"/>
      <c r="L2" s="78"/>
    </row>
    <row r="3" spans="1:12" ht="12" customHeight="1" x14ac:dyDescent="0.3"/>
    <row r="4" spans="1:12" ht="30" customHeight="1" x14ac:dyDescent="0.3">
      <c r="A4" s="9" t="s">
        <v>262</v>
      </c>
      <c r="B4" s="9" t="s">
        <v>263</v>
      </c>
      <c r="C4" s="9" t="s">
        <v>264</v>
      </c>
      <c r="D4" s="9" t="s">
        <v>27</v>
      </c>
      <c r="E4" s="9" t="s">
        <v>265</v>
      </c>
      <c r="F4" s="9" t="s">
        <v>266</v>
      </c>
      <c r="G4" s="9" t="s">
        <v>267</v>
      </c>
      <c r="H4" s="9" t="s">
        <v>28</v>
      </c>
      <c r="I4" s="9" t="s">
        <v>268</v>
      </c>
      <c r="J4" s="9" t="s">
        <v>269</v>
      </c>
    </row>
    <row r="5" spans="1:12" ht="14.25" customHeight="1" x14ac:dyDescent="0.3">
      <c r="A5" s="12" t="s">
        <v>270</v>
      </c>
      <c r="B5" s="12" t="s">
        <v>271</v>
      </c>
      <c r="C5" s="12" t="s">
        <v>271</v>
      </c>
      <c r="D5" s="12" t="s">
        <v>272</v>
      </c>
      <c r="E5" s="12" t="s">
        <v>271</v>
      </c>
      <c r="F5" s="12" t="s">
        <v>271</v>
      </c>
      <c r="G5" s="12" t="s">
        <v>271</v>
      </c>
      <c r="H5" s="12" t="s">
        <v>272</v>
      </c>
      <c r="I5" s="12" t="s">
        <v>271</v>
      </c>
      <c r="J5" s="12" t="s">
        <v>272</v>
      </c>
    </row>
    <row r="6" spans="1:12" ht="14.25" customHeight="1" x14ac:dyDescent="0.3">
      <c r="A6" s="11"/>
      <c r="B6" s="11"/>
      <c r="C6" s="11"/>
      <c r="D6" s="11"/>
      <c r="E6" s="11"/>
      <c r="F6" s="11"/>
      <c r="G6" s="11"/>
      <c r="H6" s="11"/>
      <c r="I6" s="11"/>
      <c r="J6" s="12" t="s">
        <v>273</v>
      </c>
    </row>
    <row r="7" spans="1:12" ht="14.25" customHeight="1" x14ac:dyDescent="0.3">
      <c r="A7" s="10" t="s">
        <v>274</v>
      </c>
      <c r="B7" s="10" t="s">
        <v>275</v>
      </c>
      <c r="C7" s="10" t="s">
        <v>276</v>
      </c>
      <c r="D7" s="10" t="s">
        <v>106</v>
      </c>
      <c r="E7" s="10" t="s">
        <v>277</v>
      </c>
      <c r="F7" s="10" t="s">
        <v>278</v>
      </c>
      <c r="G7" s="10" t="s">
        <v>279</v>
      </c>
      <c r="H7" s="10" t="s">
        <v>70</v>
      </c>
      <c r="I7" s="10" t="s">
        <v>102</v>
      </c>
      <c r="J7" s="10" t="s">
        <v>92</v>
      </c>
    </row>
    <row r="8" spans="1:12" ht="14.25" customHeight="1" x14ac:dyDescent="0.3">
      <c r="A8" s="10" t="s">
        <v>280</v>
      </c>
      <c r="B8" s="10" t="s">
        <v>281</v>
      </c>
      <c r="C8" s="10" t="s">
        <v>282</v>
      </c>
      <c r="D8" s="10" t="s">
        <v>144</v>
      </c>
      <c r="E8" s="10" t="s">
        <v>283</v>
      </c>
      <c r="F8" s="10" t="s">
        <v>284</v>
      </c>
      <c r="G8" s="10" t="s">
        <v>285</v>
      </c>
      <c r="H8" s="10" t="s">
        <v>145</v>
      </c>
      <c r="I8" s="10" t="s">
        <v>138</v>
      </c>
      <c r="J8" s="10" t="s">
        <v>92</v>
      </c>
    </row>
    <row r="9" spans="1:12" ht="14.25" customHeight="1" x14ac:dyDescent="0.3">
      <c r="A9" s="10" t="s">
        <v>286</v>
      </c>
      <c r="B9" s="10" t="s">
        <v>287</v>
      </c>
      <c r="C9" s="10" t="s">
        <v>288</v>
      </c>
      <c r="D9" s="10" t="s">
        <v>172</v>
      </c>
      <c r="E9" s="10" t="s">
        <v>289</v>
      </c>
      <c r="F9" s="10" t="s">
        <v>290</v>
      </c>
      <c r="G9" s="10" t="s">
        <v>291</v>
      </c>
      <c r="H9" s="10" t="s">
        <v>107</v>
      </c>
      <c r="I9" s="10" t="s">
        <v>169</v>
      </c>
      <c r="J9" s="10" t="s">
        <v>92</v>
      </c>
    </row>
    <row r="10" spans="1:12" ht="14.25" customHeight="1" x14ac:dyDescent="0.3">
      <c r="A10" s="10" t="s">
        <v>292</v>
      </c>
      <c r="B10" s="10" t="s">
        <v>293</v>
      </c>
      <c r="C10" s="10" t="s">
        <v>294</v>
      </c>
      <c r="D10" s="10" t="s">
        <v>106</v>
      </c>
      <c r="E10" s="10" t="s">
        <v>295</v>
      </c>
      <c r="F10" s="10" t="s">
        <v>296</v>
      </c>
      <c r="G10" s="10" t="s">
        <v>297</v>
      </c>
      <c r="H10" s="10" t="s">
        <v>70</v>
      </c>
      <c r="I10" s="10" t="s">
        <v>195</v>
      </c>
      <c r="J10" s="10" t="s">
        <v>92</v>
      </c>
    </row>
    <row r="11" spans="1:12" ht="14.25" customHeight="1" x14ac:dyDescent="0.3">
      <c r="A11" s="10" t="s">
        <v>298</v>
      </c>
      <c r="B11" s="10" t="s">
        <v>299</v>
      </c>
      <c r="C11" s="10" t="s">
        <v>300</v>
      </c>
      <c r="D11" s="10" t="s">
        <v>232</v>
      </c>
      <c r="E11" s="10" t="s">
        <v>301</v>
      </c>
      <c r="F11" s="10" t="s">
        <v>302</v>
      </c>
      <c r="G11" s="10" t="s">
        <v>303</v>
      </c>
      <c r="H11" s="10" t="s">
        <v>107</v>
      </c>
      <c r="I11" s="10" t="s">
        <v>138</v>
      </c>
      <c r="J11" s="10" t="s">
        <v>92</v>
      </c>
    </row>
    <row r="12" spans="1:12" ht="14.25" customHeight="1" x14ac:dyDescent="0.3">
      <c r="A12" s="10" t="s">
        <v>304</v>
      </c>
      <c r="B12" s="10" t="s">
        <v>305</v>
      </c>
      <c r="C12" s="10" t="s">
        <v>306</v>
      </c>
      <c r="D12" s="10" t="s">
        <v>217</v>
      </c>
      <c r="E12" s="10" t="s">
        <v>307</v>
      </c>
      <c r="F12" s="10" t="s">
        <v>308</v>
      </c>
      <c r="G12" s="10" t="s">
        <v>309</v>
      </c>
      <c r="H12" s="10" t="s">
        <v>107</v>
      </c>
      <c r="I12" s="10" t="s">
        <v>169</v>
      </c>
      <c r="J12" s="10" t="s">
        <v>92</v>
      </c>
    </row>
    <row r="13" spans="1:12" ht="14.25" customHeight="1" x14ac:dyDescent="0.3">
      <c r="A13" s="10" t="s">
        <v>310</v>
      </c>
      <c r="B13" s="10" t="s">
        <v>311</v>
      </c>
      <c r="C13" s="10" t="s">
        <v>312</v>
      </c>
      <c r="D13" s="10" t="s">
        <v>244</v>
      </c>
      <c r="E13" s="10" t="s">
        <v>313</v>
      </c>
      <c r="F13" s="10" t="s">
        <v>314</v>
      </c>
      <c r="G13" s="10" t="s">
        <v>315</v>
      </c>
      <c r="H13" s="10" t="s">
        <v>197</v>
      </c>
      <c r="I13" s="10" t="s">
        <v>216</v>
      </c>
      <c r="J13" s="10" t="s">
        <v>127</v>
      </c>
    </row>
  </sheetData>
  <mergeCells count="2">
    <mergeCell ref="C1:L1"/>
    <mergeCell ref="C2:L2"/>
  </mergeCells>
  <dataValidations count="4">
    <dataValidation type="list" allowBlank="1" errorTitle="Not in master" error="Value must be chosen from the master list." promptTitle="Master-driven list" prompt="Select from L_Country" sqref="D7:D500" xr:uid="{00000000-0002-0000-0200-000000000000}">
      <formula1>L_Country</formula1>
      <formula2>0</formula2>
    </dataValidation>
    <dataValidation type="list" allowBlank="1" errorTitle="Not in master" error="Value must be chosen from the master list." promptTitle="Master-driven list" prompt="Select from L_Currency" sqref="H7:H500" xr:uid="{00000000-0002-0000-0200-000001000000}">
      <formula1>L_Currency</formula1>
      <formula2>0</formula2>
    </dataValidation>
    <dataValidation type="list" allowBlank="1" errorTitle="Not in master" error="Value must be chosen from the master list." promptTitle="Master-driven list" prompt="Select from L_PaymentTerms" sqref="I7:I500" xr:uid="{00000000-0002-0000-0200-000002000000}">
      <formula1>L_PaymentTerms</formula1>
      <formula2>0</formula2>
    </dataValidation>
    <dataValidation type="list" allowBlank="1" errorTitle="Not in master" error="Value must be chosen from the master list." promptTitle="Master-driven list" prompt="Select from L_StatusActive" sqref="J7:J500" xr:uid="{00000000-0002-0000-0200-000003000000}">
      <formula1>L_StatusActive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56082"/>
  </sheetPr>
  <dimension ref="A1:M13"/>
  <sheetViews>
    <sheetView showGridLines="0" zoomScaleNormal="100" workbookViewId="0">
      <pane ySplit="4" topLeftCell="A5" activePane="bottomLeft" state="frozen"/>
      <selection pane="bottomLeft" activeCell="E18" sqref="E18"/>
    </sheetView>
  </sheetViews>
  <sheetFormatPr defaultColWidth="8.5546875" defaultRowHeight="14.4" x14ac:dyDescent="0.3"/>
  <cols>
    <col min="1" max="5" width="16" customWidth="1"/>
    <col min="6" max="11" width="17" customWidth="1"/>
  </cols>
  <sheetData>
    <row r="1" spans="1:13" ht="21" customHeight="1" x14ac:dyDescent="0.3">
      <c r="A1" s="8" t="s">
        <v>24</v>
      </c>
      <c r="C1" s="77" t="s">
        <v>25</v>
      </c>
      <c r="D1" s="77"/>
      <c r="E1" s="77"/>
      <c r="F1" s="77"/>
      <c r="G1" s="77"/>
      <c r="H1" s="77"/>
      <c r="I1" s="77"/>
      <c r="J1" s="77"/>
      <c r="K1" s="77"/>
      <c r="L1" s="77"/>
      <c r="M1" s="77"/>
    </row>
    <row r="2" spans="1:13" ht="21" customHeight="1" x14ac:dyDescent="0.3">
      <c r="A2" s="2"/>
      <c r="C2" s="78" t="s">
        <v>316</v>
      </c>
      <c r="D2" s="78"/>
      <c r="E2" s="78"/>
      <c r="F2" s="78"/>
      <c r="G2" s="78"/>
      <c r="H2" s="78"/>
      <c r="I2" s="78"/>
      <c r="J2" s="78"/>
      <c r="K2" s="78"/>
      <c r="L2" s="78"/>
      <c r="M2" s="78"/>
    </row>
    <row r="3" spans="1:13" ht="12" customHeight="1" x14ac:dyDescent="0.3"/>
    <row r="4" spans="1:13" ht="30" customHeight="1" x14ac:dyDescent="0.3">
      <c r="A4" s="9" t="s">
        <v>317</v>
      </c>
      <c r="B4" s="9" t="s">
        <v>318</v>
      </c>
      <c r="C4" s="9" t="s">
        <v>319</v>
      </c>
      <c r="D4" s="9" t="s">
        <v>264</v>
      </c>
      <c r="E4" s="9" t="s">
        <v>320</v>
      </c>
      <c r="F4" s="9" t="s">
        <v>265</v>
      </c>
      <c r="G4" s="9" t="s">
        <v>267</v>
      </c>
      <c r="H4" s="9" t="s">
        <v>266</v>
      </c>
      <c r="I4" s="9" t="s">
        <v>321</v>
      </c>
      <c r="J4" s="9" t="s">
        <v>269</v>
      </c>
      <c r="K4" s="9" t="s">
        <v>322</v>
      </c>
    </row>
    <row r="5" spans="1:13" ht="14.25" customHeight="1" x14ac:dyDescent="0.3">
      <c r="A5" s="12" t="s">
        <v>270</v>
      </c>
      <c r="B5" s="12" t="s">
        <v>271</v>
      </c>
      <c r="C5" s="12" t="s">
        <v>272</v>
      </c>
      <c r="D5" s="12" t="s">
        <v>271</v>
      </c>
      <c r="E5" s="12" t="s">
        <v>271</v>
      </c>
      <c r="F5" s="12" t="s">
        <v>271</v>
      </c>
      <c r="G5" s="12" t="s">
        <v>271</v>
      </c>
      <c r="H5" s="12" t="s">
        <v>271</v>
      </c>
      <c r="I5" s="12" t="s">
        <v>271</v>
      </c>
      <c r="J5" s="12" t="s">
        <v>272</v>
      </c>
      <c r="K5" s="12" t="s">
        <v>323</v>
      </c>
    </row>
    <row r="6" spans="1:13" ht="57" customHeight="1" x14ac:dyDescent="0.3">
      <c r="A6" s="11"/>
      <c r="B6" s="11"/>
      <c r="C6" s="12" t="s">
        <v>324</v>
      </c>
      <c r="D6" s="11"/>
      <c r="E6" s="11"/>
      <c r="F6" s="11"/>
      <c r="G6" s="11"/>
      <c r="H6" s="11"/>
      <c r="I6" s="11"/>
      <c r="J6" s="12" t="s">
        <v>273</v>
      </c>
      <c r="K6" s="11"/>
    </row>
    <row r="7" spans="1:13" ht="14.25" customHeight="1" x14ac:dyDescent="0.3">
      <c r="A7" s="10" t="s">
        <v>325</v>
      </c>
      <c r="B7" s="10" t="s">
        <v>326</v>
      </c>
      <c r="C7" s="10" t="s">
        <v>73</v>
      </c>
      <c r="D7" s="10" t="s">
        <v>327</v>
      </c>
      <c r="E7" s="10" t="s">
        <v>328</v>
      </c>
      <c r="F7" s="10" t="s">
        <v>329</v>
      </c>
      <c r="G7" s="10" t="s">
        <v>330</v>
      </c>
      <c r="H7" s="10" t="s">
        <v>331</v>
      </c>
      <c r="I7" s="10" t="s">
        <v>332</v>
      </c>
      <c r="J7" s="10" t="s">
        <v>92</v>
      </c>
      <c r="K7" s="10" t="s">
        <v>333</v>
      </c>
    </row>
    <row r="8" spans="1:13" ht="14.25" customHeight="1" x14ac:dyDescent="0.3">
      <c r="A8" s="10" t="s">
        <v>334</v>
      </c>
      <c r="B8" s="10" t="s">
        <v>335</v>
      </c>
      <c r="C8" s="10" t="s">
        <v>110</v>
      </c>
      <c r="D8" s="10" t="s">
        <v>336</v>
      </c>
      <c r="E8" s="10" t="s">
        <v>337</v>
      </c>
      <c r="F8" s="10" t="s">
        <v>338</v>
      </c>
      <c r="G8" s="10" t="s">
        <v>339</v>
      </c>
      <c r="H8" s="10" t="s">
        <v>340</v>
      </c>
      <c r="I8" s="10" t="s">
        <v>341</v>
      </c>
      <c r="J8" s="10" t="s">
        <v>92</v>
      </c>
      <c r="K8" s="10" t="s">
        <v>342</v>
      </c>
    </row>
    <row r="9" spans="1:13" ht="14.25" customHeight="1" x14ac:dyDescent="0.3">
      <c r="A9" s="10" t="s">
        <v>343</v>
      </c>
      <c r="B9" s="10" t="s">
        <v>344</v>
      </c>
      <c r="C9" s="10" t="s">
        <v>86</v>
      </c>
      <c r="D9" s="10" t="s">
        <v>345</v>
      </c>
      <c r="E9" s="10" t="s">
        <v>346</v>
      </c>
      <c r="F9" s="10" t="s">
        <v>347</v>
      </c>
      <c r="G9" s="10" t="s">
        <v>348</v>
      </c>
      <c r="H9" s="10" t="s">
        <v>349</v>
      </c>
      <c r="I9" s="10" t="s">
        <v>350</v>
      </c>
      <c r="J9" s="10" t="s">
        <v>92</v>
      </c>
      <c r="K9" s="10" t="s">
        <v>351</v>
      </c>
    </row>
    <row r="10" spans="1:13" ht="14.25" customHeight="1" x14ac:dyDescent="0.3">
      <c r="A10" s="10" t="s">
        <v>352</v>
      </c>
      <c r="B10" s="10" t="s">
        <v>353</v>
      </c>
      <c r="C10" s="10" t="s">
        <v>123</v>
      </c>
      <c r="D10" s="10" t="s">
        <v>354</v>
      </c>
      <c r="E10" s="10" t="s">
        <v>355</v>
      </c>
      <c r="F10" s="10" t="s">
        <v>356</v>
      </c>
      <c r="G10" s="10" t="s">
        <v>357</v>
      </c>
      <c r="H10" s="10" t="s">
        <v>358</v>
      </c>
      <c r="I10" s="10" t="s">
        <v>359</v>
      </c>
      <c r="J10" s="10" t="s">
        <v>92</v>
      </c>
      <c r="K10" s="10" t="s">
        <v>360</v>
      </c>
    </row>
    <row r="11" spans="1:13" ht="14.25" customHeight="1" x14ac:dyDescent="0.3">
      <c r="A11" s="10" t="s">
        <v>361</v>
      </c>
      <c r="B11" s="10" t="s">
        <v>362</v>
      </c>
      <c r="C11" s="10" t="s">
        <v>123</v>
      </c>
      <c r="D11" s="10" t="s">
        <v>363</v>
      </c>
      <c r="E11" s="10" t="s">
        <v>364</v>
      </c>
      <c r="F11" s="10" t="s">
        <v>365</v>
      </c>
      <c r="G11" s="10" t="s">
        <v>366</v>
      </c>
      <c r="H11" s="10" t="s">
        <v>367</v>
      </c>
      <c r="I11" s="10" t="s">
        <v>368</v>
      </c>
      <c r="J11" s="10" t="s">
        <v>92</v>
      </c>
      <c r="K11" s="10" t="s">
        <v>369</v>
      </c>
    </row>
    <row r="12" spans="1:13" ht="14.25" customHeight="1" x14ac:dyDescent="0.3">
      <c r="A12" s="10" t="s">
        <v>370</v>
      </c>
      <c r="B12" s="10" t="s">
        <v>371</v>
      </c>
      <c r="C12" s="10" t="s">
        <v>212</v>
      </c>
      <c r="D12" s="10" t="s">
        <v>372</v>
      </c>
      <c r="E12" s="10" t="s">
        <v>373</v>
      </c>
      <c r="F12" s="10" t="s">
        <v>374</v>
      </c>
      <c r="G12" s="10" t="s">
        <v>375</v>
      </c>
      <c r="H12" s="10" t="s">
        <v>376</v>
      </c>
      <c r="I12" s="10" t="s">
        <v>377</v>
      </c>
      <c r="J12" s="10" t="s">
        <v>92</v>
      </c>
      <c r="K12" s="10" t="s">
        <v>378</v>
      </c>
    </row>
    <row r="13" spans="1:13" ht="14.25" customHeight="1" x14ac:dyDescent="0.3">
      <c r="A13" s="10" t="s">
        <v>379</v>
      </c>
      <c r="B13" s="10" t="s">
        <v>380</v>
      </c>
      <c r="C13" s="10" t="s">
        <v>229</v>
      </c>
      <c r="D13" s="10" t="s">
        <v>381</v>
      </c>
      <c r="E13" s="10" t="s">
        <v>382</v>
      </c>
      <c r="F13" s="10" t="s">
        <v>383</v>
      </c>
      <c r="G13" s="10" t="s">
        <v>384</v>
      </c>
      <c r="H13" s="10" t="s">
        <v>385</v>
      </c>
      <c r="I13" s="10" t="s">
        <v>386</v>
      </c>
      <c r="J13" s="10" t="s">
        <v>92</v>
      </c>
      <c r="K13" s="10" t="s">
        <v>387</v>
      </c>
    </row>
  </sheetData>
  <mergeCells count="2">
    <mergeCell ref="C1:M1"/>
    <mergeCell ref="C2:M2"/>
  </mergeCells>
  <dataValidations count="2">
    <dataValidation type="list" allowBlank="1" errorTitle="Not in master" error="Value must be chosen from the master list." promptTitle="Master-driven list" prompt="Select from L_VendorCategory" sqref="C7:C500" xr:uid="{00000000-0002-0000-0300-000000000000}">
      <formula1>L_VendorCategory</formula1>
      <formula2>0</formula2>
    </dataValidation>
    <dataValidation type="list" allowBlank="1" errorTitle="Not in master" error="Value must be chosen from the master list." promptTitle="Master-driven list" prompt="Select from L_StatusActive" sqref="J7:J500" xr:uid="{00000000-0002-0000-0300-000001000000}">
      <formula1>L_StatusActive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56082"/>
  </sheetPr>
  <dimension ref="A1:M13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5546875" defaultRowHeight="14.4" x14ac:dyDescent="0.3"/>
  <cols>
    <col min="1" max="1" width="20" customWidth="1"/>
    <col min="2" max="2" width="31" customWidth="1"/>
    <col min="3" max="4" width="23" customWidth="1"/>
    <col min="5" max="5" width="19" customWidth="1"/>
    <col min="6" max="7" width="32" customWidth="1"/>
    <col min="8" max="11" width="14" customWidth="1"/>
  </cols>
  <sheetData>
    <row r="1" spans="1:13" ht="21" customHeight="1" x14ac:dyDescent="0.3">
      <c r="A1" s="8" t="s">
        <v>24</v>
      </c>
      <c r="C1" s="77" t="s">
        <v>25</v>
      </c>
      <c r="D1" s="77"/>
      <c r="E1" s="77"/>
      <c r="F1" s="77"/>
      <c r="G1" s="77"/>
      <c r="H1" s="77"/>
      <c r="I1" s="77"/>
      <c r="J1" s="77"/>
      <c r="K1" s="77"/>
      <c r="L1" s="77"/>
      <c r="M1" s="77"/>
    </row>
    <row r="2" spans="1:13" ht="21" customHeight="1" x14ac:dyDescent="0.3">
      <c r="A2" s="2"/>
      <c r="C2" s="78" t="s">
        <v>388</v>
      </c>
      <c r="D2" s="78"/>
      <c r="E2" s="78"/>
      <c r="F2" s="78"/>
      <c r="G2" s="78"/>
      <c r="H2" s="78"/>
      <c r="I2" s="78"/>
      <c r="J2" s="78"/>
      <c r="K2" s="78"/>
      <c r="L2" s="78"/>
      <c r="M2" s="78"/>
    </row>
    <row r="3" spans="1:13" ht="12" customHeight="1" x14ac:dyDescent="0.3"/>
    <row r="4" spans="1:13" ht="30" customHeight="1" x14ac:dyDescent="0.3">
      <c r="A4" s="9" t="s">
        <v>389</v>
      </c>
      <c r="B4" s="9" t="s">
        <v>390</v>
      </c>
      <c r="C4" s="9" t="s">
        <v>391</v>
      </c>
      <c r="D4" s="9" t="s">
        <v>319</v>
      </c>
      <c r="E4" s="9" t="s">
        <v>392</v>
      </c>
      <c r="F4" s="9" t="s">
        <v>393</v>
      </c>
      <c r="G4" s="9" t="s">
        <v>394</v>
      </c>
      <c r="H4" s="9" t="s">
        <v>395</v>
      </c>
      <c r="I4" s="9" t="s">
        <v>396</v>
      </c>
      <c r="J4" s="9" t="s">
        <v>269</v>
      </c>
      <c r="K4" s="9" t="s">
        <v>322</v>
      </c>
    </row>
    <row r="5" spans="1:13" ht="14.25" customHeight="1" x14ac:dyDescent="0.3">
      <c r="A5" s="12" t="s">
        <v>270</v>
      </c>
      <c r="B5" s="12" t="s">
        <v>271</v>
      </c>
      <c r="C5" s="12" t="s">
        <v>272</v>
      </c>
      <c r="D5" s="12" t="s">
        <v>272</v>
      </c>
      <c r="E5" s="12" t="s">
        <v>272</v>
      </c>
      <c r="F5" s="12" t="s">
        <v>271</v>
      </c>
      <c r="G5" s="12" t="s">
        <v>271</v>
      </c>
      <c r="H5" s="12" t="s">
        <v>271</v>
      </c>
      <c r="I5" s="12" t="s">
        <v>271</v>
      </c>
      <c r="J5" s="12" t="s">
        <v>272</v>
      </c>
      <c r="K5" s="12" t="s">
        <v>323</v>
      </c>
    </row>
    <row r="6" spans="1:13" ht="28.5" customHeight="1" x14ac:dyDescent="0.3">
      <c r="A6" s="11"/>
      <c r="B6" s="11"/>
      <c r="C6" s="12" t="s">
        <v>397</v>
      </c>
      <c r="D6" s="12" t="s">
        <v>398</v>
      </c>
      <c r="E6" s="11"/>
      <c r="F6" s="12" t="s">
        <v>399</v>
      </c>
      <c r="G6" s="11"/>
      <c r="H6" s="11"/>
      <c r="I6" s="11"/>
      <c r="J6" s="12" t="s">
        <v>273</v>
      </c>
      <c r="K6" s="11"/>
    </row>
    <row r="7" spans="1:13" ht="14.25" customHeight="1" x14ac:dyDescent="0.3">
      <c r="A7" s="10" t="s">
        <v>400</v>
      </c>
      <c r="B7" s="10" t="s">
        <v>401</v>
      </c>
      <c r="C7" s="10" t="s">
        <v>275</v>
      </c>
      <c r="D7" s="10" t="s">
        <v>94</v>
      </c>
      <c r="E7" s="10" t="s">
        <v>77</v>
      </c>
      <c r="F7" s="13">
        <v>0.85</v>
      </c>
      <c r="G7" s="13">
        <v>2</v>
      </c>
      <c r="H7" s="10" t="s">
        <v>81</v>
      </c>
      <c r="I7" s="10" t="s">
        <v>402</v>
      </c>
      <c r="J7" s="10" t="s">
        <v>92</v>
      </c>
      <c r="K7" s="10" t="s">
        <v>403</v>
      </c>
    </row>
    <row r="8" spans="1:13" ht="14.25" customHeight="1" x14ac:dyDescent="0.3">
      <c r="A8" s="10" t="s">
        <v>404</v>
      </c>
      <c r="B8" s="10" t="s">
        <v>405</v>
      </c>
      <c r="C8" s="10" t="s">
        <v>275</v>
      </c>
      <c r="D8" s="10" t="s">
        <v>94</v>
      </c>
      <c r="E8" s="10" t="s">
        <v>77</v>
      </c>
      <c r="F8" s="13">
        <v>0.75</v>
      </c>
      <c r="G8" s="13">
        <v>2</v>
      </c>
      <c r="H8" s="10" t="s">
        <v>81</v>
      </c>
      <c r="I8" s="10" t="s">
        <v>406</v>
      </c>
      <c r="J8" s="10" t="s">
        <v>92</v>
      </c>
      <c r="K8" s="10"/>
    </row>
    <row r="9" spans="1:13" ht="14.25" customHeight="1" x14ac:dyDescent="0.3">
      <c r="A9" s="10" t="s">
        <v>407</v>
      </c>
      <c r="B9" s="10" t="s">
        <v>408</v>
      </c>
      <c r="C9" s="10" t="s">
        <v>281</v>
      </c>
      <c r="D9" s="10" t="s">
        <v>213</v>
      </c>
      <c r="E9" s="10" t="s">
        <v>203</v>
      </c>
      <c r="F9" s="13">
        <v>1.1000000000000001</v>
      </c>
      <c r="G9" s="13">
        <v>3</v>
      </c>
      <c r="H9" s="10" t="s">
        <v>183</v>
      </c>
      <c r="I9" s="10" t="s">
        <v>409</v>
      </c>
      <c r="J9" s="10" t="s">
        <v>92</v>
      </c>
      <c r="K9" s="10" t="s">
        <v>410</v>
      </c>
    </row>
    <row r="10" spans="1:13" ht="14.25" customHeight="1" x14ac:dyDescent="0.3">
      <c r="A10" s="10" t="s">
        <v>411</v>
      </c>
      <c r="B10" s="10" t="s">
        <v>412</v>
      </c>
      <c r="C10" s="10" t="s">
        <v>287</v>
      </c>
      <c r="D10" s="10" t="s">
        <v>163</v>
      </c>
      <c r="E10" s="10" t="s">
        <v>179</v>
      </c>
      <c r="F10" s="13">
        <v>0.3</v>
      </c>
      <c r="G10" s="13">
        <v>1</v>
      </c>
      <c r="H10" s="10" t="s">
        <v>118</v>
      </c>
      <c r="I10" s="10" t="s">
        <v>413</v>
      </c>
      <c r="J10" s="10" t="s">
        <v>92</v>
      </c>
      <c r="K10" s="10" t="s">
        <v>414</v>
      </c>
    </row>
    <row r="11" spans="1:13" ht="14.25" customHeight="1" x14ac:dyDescent="0.3">
      <c r="A11" s="10" t="s">
        <v>415</v>
      </c>
      <c r="B11" s="10" t="s">
        <v>416</v>
      </c>
      <c r="C11" s="10" t="s">
        <v>287</v>
      </c>
      <c r="D11" s="10" t="s">
        <v>163</v>
      </c>
      <c r="E11" s="10" t="s">
        <v>179</v>
      </c>
      <c r="F11" s="13">
        <v>0.35</v>
      </c>
      <c r="G11" s="13">
        <v>2</v>
      </c>
      <c r="H11" s="10" t="s">
        <v>118</v>
      </c>
      <c r="I11" s="10" t="s">
        <v>417</v>
      </c>
      <c r="J11" s="10" t="s">
        <v>92</v>
      </c>
      <c r="K11" s="10"/>
    </row>
    <row r="12" spans="1:13" ht="14.25" customHeight="1" x14ac:dyDescent="0.3">
      <c r="A12" s="10" t="s">
        <v>418</v>
      </c>
      <c r="B12" s="10" t="s">
        <v>419</v>
      </c>
      <c r="C12" s="10" t="s">
        <v>293</v>
      </c>
      <c r="D12" s="10" t="s">
        <v>94</v>
      </c>
      <c r="E12" s="10" t="s">
        <v>152</v>
      </c>
      <c r="F12" s="13">
        <v>0.9</v>
      </c>
      <c r="G12" s="13">
        <v>2</v>
      </c>
      <c r="H12" s="10" t="s">
        <v>156</v>
      </c>
      <c r="I12" s="10" t="s">
        <v>420</v>
      </c>
      <c r="J12" s="10" t="s">
        <v>92</v>
      </c>
      <c r="K12" s="10" t="s">
        <v>421</v>
      </c>
    </row>
    <row r="13" spans="1:13" ht="14.25" customHeight="1" x14ac:dyDescent="0.3">
      <c r="A13" s="10" t="s">
        <v>422</v>
      </c>
      <c r="B13" s="10" t="s">
        <v>423</v>
      </c>
      <c r="C13" s="10" t="s">
        <v>299</v>
      </c>
      <c r="D13" s="10" t="s">
        <v>129</v>
      </c>
      <c r="E13" s="10" t="s">
        <v>114</v>
      </c>
      <c r="F13" s="13">
        <v>0.95</v>
      </c>
      <c r="G13" s="13">
        <v>2</v>
      </c>
      <c r="H13" s="10" t="s">
        <v>81</v>
      </c>
      <c r="I13" s="10" t="s">
        <v>424</v>
      </c>
      <c r="J13" s="10" t="s">
        <v>92</v>
      </c>
      <c r="K13" s="10"/>
    </row>
  </sheetData>
  <mergeCells count="2">
    <mergeCell ref="C1:M1"/>
    <mergeCell ref="C2:M2"/>
  </mergeCells>
  <dataValidations count="5">
    <dataValidation type="list" allowBlank="1" errorTitle="Not in master" error="Value must be chosen from the master list." promptTitle="Master-driven list" prompt="Select from M_BuyerName" sqref="C7:C500" xr:uid="{00000000-0002-0000-0400-000000000000}">
      <formula1>M_BuyerName</formula1>
      <formula2>0</formula2>
    </dataValidation>
    <dataValidation type="list" allowBlank="1" errorTitle="Not in master" error="Value must be chosen from the master list." promptTitle="Master-driven list" prompt="Select from L_StyleCategory" sqref="D7:D500" xr:uid="{00000000-0002-0000-0400-000001000000}">
      <formula1>L_StyleCategory</formula1>
      <formula2>0</formula2>
    </dataValidation>
    <dataValidation type="list" allowBlank="1" errorTitle="Not in master" error="Value must be chosen from the master list." promptTitle="Master-driven list" prompt="Select from L_FabricContent" sqref="E7:E500" xr:uid="{00000000-0002-0000-0400-000002000000}">
      <formula1>L_FabricContent</formula1>
      <formula2>0</formula2>
    </dataValidation>
    <dataValidation type="list" allowBlank="1" errorTitle="Not in master" error="Value must be chosen from the master list." promptTitle="Master-driven list" prompt="Select from L_SizeGroup" sqref="H7:H500" xr:uid="{00000000-0002-0000-0400-000003000000}">
      <formula1>L_SizeGroup</formula1>
      <formula2>0</formula2>
    </dataValidation>
    <dataValidation type="list" allowBlank="1" errorTitle="Not in master" error="Value must be chosen from the master list." promptTitle="Master-driven list" prompt="Select from L_StatusActive" sqref="J7:J500" xr:uid="{00000000-0002-0000-0400-000004000000}">
      <formula1>L_StatusActive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56082"/>
  </sheetPr>
  <dimension ref="A1:H17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5546875" defaultRowHeight="14.4" x14ac:dyDescent="0.3"/>
  <cols>
    <col min="1" max="6" width="17" customWidth="1"/>
  </cols>
  <sheetData>
    <row r="1" spans="1:8" ht="21" customHeight="1" x14ac:dyDescent="0.3">
      <c r="A1" s="8" t="s">
        <v>24</v>
      </c>
      <c r="C1" s="77" t="s">
        <v>25</v>
      </c>
      <c r="D1" s="77"/>
      <c r="E1" s="77"/>
      <c r="F1" s="77"/>
      <c r="G1" s="77"/>
      <c r="H1" s="77"/>
    </row>
    <row r="2" spans="1:8" ht="21" customHeight="1" x14ac:dyDescent="0.3">
      <c r="A2" s="2"/>
      <c r="C2" s="78" t="s">
        <v>425</v>
      </c>
      <c r="D2" s="78"/>
      <c r="E2" s="78"/>
      <c r="F2" s="78"/>
      <c r="G2" s="78"/>
      <c r="H2" s="78"/>
    </row>
    <row r="3" spans="1:8" ht="12" customHeight="1" x14ac:dyDescent="0.3"/>
    <row r="4" spans="1:8" ht="30" customHeight="1" x14ac:dyDescent="0.3">
      <c r="A4" s="9" t="s">
        <v>426</v>
      </c>
      <c r="B4" s="9" t="s">
        <v>427</v>
      </c>
      <c r="C4" s="9" t="s">
        <v>40</v>
      </c>
      <c r="D4" s="9" t="s">
        <v>41</v>
      </c>
      <c r="E4" s="9" t="s">
        <v>428</v>
      </c>
      <c r="F4" s="9" t="s">
        <v>269</v>
      </c>
    </row>
    <row r="5" spans="1:8" ht="14.25" customHeight="1" x14ac:dyDescent="0.3">
      <c r="A5" s="12" t="s">
        <v>270</v>
      </c>
      <c r="B5" s="12" t="s">
        <v>271</v>
      </c>
      <c r="C5" s="12" t="s">
        <v>272</v>
      </c>
      <c r="D5" s="12" t="s">
        <v>272</v>
      </c>
      <c r="E5" s="12" t="s">
        <v>272</v>
      </c>
      <c r="F5" s="12" t="s">
        <v>272</v>
      </c>
    </row>
    <row r="6" spans="1:8" ht="57" customHeight="1" x14ac:dyDescent="0.3">
      <c r="A6" s="11"/>
      <c r="B6" s="11"/>
      <c r="C6" s="12" t="s">
        <v>429</v>
      </c>
      <c r="D6" s="12" t="s">
        <v>430</v>
      </c>
      <c r="E6" s="11"/>
      <c r="F6" s="12" t="s">
        <v>273</v>
      </c>
    </row>
    <row r="7" spans="1:8" ht="14.25" customHeight="1" x14ac:dyDescent="0.3">
      <c r="A7" s="10" t="s">
        <v>431</v>
      </c>
      <c r="B7" s="10" t="s">
        <v>432</v>
      </c>
      <c r="C7" s="10" t="s">
        <v>87</v>
      </c>
      <c r="D7" s="10" t="s">
        <v>167</v>
      </c>
      <c r="E7" s="10" t="s">
        <v>433</v>
      </c>
      <c r="F7" s="10" t="s">
        <v>92</v>
      </c>
    </row>
    <row r="8" spans="1:8" ht="14.25" customHeight="1" x14ac:dyDescent="0.3">
      <c r="A8" s="10" t="s">
        <v>434</v>
      </c>
      <c r="B8" s="10" t="s">
        <v>374</v>
      </c>
      <c r="C8" s="10" t="s">
        <v>143</v>
      </c>
      <c r="D8" s="10" t="s">
        <v>167</v>
      </c>
      <c r="E8" s="10" t="s">
        <v>84</v>
      </c>
      <c r="F8" s="10" t="s">
        <v>92</v>
      </c>
    </row>
    <row r="9" spans="1:8" ht="14.25" customHeight="1" x14ac:dyDescent="0.3">
      <c r="A9" s="10" t="s">
        <v>435</v>
      </c>
      <c r="B9" s="10" t="s">
        <v>436</v>
      </c>
      <c r="C9" s="10" t="s">
        <v>143</v>
      </c>
      <c r="D9" s="10" t="s">
        <v>167</v>
      </c>
      <c r="E9" s="10" t="s">
        <v>121</v>
      </c>
      <c r="F9" s="10" t="s">
        <v>92</v>
      </c>
    </row>
    <row r="10" spans="1:8" ht="14.25" customHeight="1" x14ac:dyDescent="0.3">
      <c r="A10" s="10" t="s">
        <v>437</v>
      </c>
      <c r="B10" s="10" t="s">
        <v>438</v>
      </c>
      <c r="C10" s="10" t="s">
        <v>225</v>
      </c>
      <c r="D10" s="10" t="s">
        <v>83</v>
      </c>
      <c r="E10" s="10" t="s">
        <v>439</v>
      </c>
      <c r="F10" s="10" t="s">
        <v>92</v>
      </c>
    </row>
    <row r="11" spans="1:8" ht="14.25" customHeight="1" x14ac:dyDescent="0.3">
      <c r="A11" s="10" t="s">
        <v>440</v>
      </c>
      <c r="B11" s="10" t="s">
        <v>441</v>
      </c>
      <c r="C11" s="10" t="s">
        <v>225</v>
      </c>
      <c r="D11" s="10" t="s">
        <v>83</v>
      </c>
      <c r="E11" s="10" t="s">
        <v>439</v>
      </c>
      <c r="F11" s="10" t="s">
        <v>92</v>
      </c>
    </row>
    <row r="12" spans="1:8" ht="14.25" customHeight="1" x14ac:dyDescent="0.3">
      <c r="A12" s="10" t="s">
        <v>442</v>
      </c>
      <c r="B12" s="10" t="s">
        <v>443</v>
      </c>
      <c r="C12" s="10" t="s">
        <v>119</v>
      </c>
      <c r="D12" s="10" t="s">
        <v>226</v>
      </c>
      <c r="E12" s="10" t="s">
        <v>444</v>
      </c>
      <c r="F12" s="10" t="s">
        <v>92</v>
      </c>
    </row>
    <row r="13" spans="1:8" ht="14.25" customHeight="1" x14ac:dyDescent="0.3">
      <c r="A13" s="10" t="s">
        <v>445</v>
      </c>
      <c r="B13" s="10" t="s">
        <v>446</v>
      </c>
      <c r="C13" s="10" t="s">
        <v>237</v>
      </c>
      <c r="D13" s="10" t="s">
        <v>120</v>
      </c>
      <c r="E13" s="10" t="s">
        <v>447</v>
      </c>
      <c r="F13" s="10" t="s">
        <v>92</v>
      </c>
    </row>
    <row r="14" spans="1:8" ht="14.25" customHeight="1" x14ac:dyDescent="0.3">
      <c r="A14" s="10" t="s">
        <v>448</v>
      </c>
      <c r="B14" s="10" t="s">
        <v>449</v>
      </c>
      <c r="C14" s="10" t="s">
        <v>82</v>
      </c>
      <c r="D14" s="10" t="s">
        <v>207</v>
      </c>
      <c r="E14" s="10" t="s">
        <v>444</v>
      </c>
      <c r="F14" s="10" t="s">
        <v>92</v>
      </c>
    </row>
    <row r="15" spans="1:8" ht="14.25" customHeight="1" x14ac:dyDescent="0.3">
      <c r="A15" s="10" t="s">
        <v>450</v>
      </c>
      <c r="B15" s="10" t="s">
        <v>96</v>
      </c>
      <c r="C15" s="10" t="s">
        <v>82</v>
      </c>
      <c r="D15" s="10" t="s">
        <v>238</v>
      </c>
      <c r="E15" s="10" t="s">
        <v>444</v>
      </c>
      <c r="F15" s="10" t="s">
        <v>92</v>
      </c>
    </row>
    <row r="16" spans="1:8" ht="14.25" customHeight="1" x14ac:dyDescent="0.3">
      <c r="A16" s="10" t="s">
        <v>451</v>
      </c>
      <c r="B16" s="10" t="s">
        <v>452</v>
      </c>
      <c r="C16" s="10" t="s">
        <v>143</v>
      </c>
      <c r="D16" s="10" t="s">
        <v>167</v>
      </c>
      <c r="E16" s="10" t="s">
        <v>158</v>
      </c>
      <c r="F16" s="10" t="s">
        <v>92</v>
      </c>
    </row>
    <row r="17" spans="1:6" ht="14.25" customHeight="1" x14ac:dyDescent="0.3">
      <c r="A17" s="10" t="s">
        <v>453</v>
      </c>
      <c r="B17" s="10" t="s">
        <v>454</v>
      </c>
      <c r="C17" s="10" t="s">
        <v>143</v>
      </c>
      <c r="D17" s="10" t="s">
        <v>167</v>
      </c>
      <c r="E17" s="10" t="s">
        <v>184</v>
      </c>
      <c r="F17" s="10" t="s">
        <v>92</v>
      </c>
    </row>
  </sheetData>
  <mergeCells count="2">
    <mergeCell ref="C1:H1"/>
    <mergeCell ref="C2:H2"/>
  </mergeCells>
  <dataValidations count="3">
    <dataValidation type="list" allowBlank="1" errorTitle="Not in master" error="Value must be chosen from the master list." promptTitle="Master-driven list" prompt="Select from L_Department" sqref="C7:C500" xr:uid="{00000000-0002-0000-0500-000000000000}">
      <formula1>L_Department</formula1>
      <formula2>0</formula2>
    </dataValidation>
    <dataValidation type="list" allowBlank="1" errorTitle="Not in master" error="Value must be chosen from the master list." promptTitle="Master-driven list" prompt="Select from L_Designation" sqref="D7:D500" xr:uid="{00000000-0002-0000-0500-000001000000}">
      <formula1>L_Designation</formula1>
      <formula2>0</formula2>
    </dataValidation>
    <dataValidation type="list" allowBlank="1" errorTitle="Not in master" error="Value must be chosen from the master list." promptTitle="Master-driven list" prompt="Select from L_StatusActive" sqref="F7:F500" xr:uid="{00000000-0002-0000-0500-000002000000}">
      <formula1>L_StatusActive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P13"/>
  <sheetViews>
    <sheetView zoomScale="99" zoomScaleNormal="99" workbookViewId="0">
      <pane ySplit="6" topLeftCell="A7" activePane="bottomLeft" state="frozen"/>
      <selection activeCell="C1" sqref="C1"/>
      <selection pane="bottomLeft" activeCell="C1" sqref="C1"/>
    </sheetView>
  </sheetViews>
  <sheetFormatPr defaultColWidth="8.5546875" defaultRowHeight="14.4" x14ac:dyDescent="0.3"/>
  <cols>
    <col min="1" max="1" width="13.5546875" customWidth="1"/>
    <col min="2" max="2" width="21" customWidth="1"/>
    <col min="3" max="3" width="31" customWidth="1"/>
    <col min="4" max="4" width="17" customWidth="1"/>
    <col min="5" max="5" width="22" customWidth="1"/>
    <col min="6" max="6" width="27" customWidth="1"/>
    <col min="7" max="7" width="21" customWidth="1"/>
    <col min="8" max="8" width="16" customWidth="1"/>
    <col min="9" max="10" width="13" customWidth="1"/>
    <col min="11" max="11" width="10.21875" customWidth="1"/>
    <col min="12" max="12" width="11" customWidth="1"/>
    <col min="13" max="13" width="12" customWidth="1"/>
    <col min="14" max="14" width="13" customWidth="1"/>
    <col min="15" max="16" width="26" customWidth="1"/>
  </cols>
  <sheetData>
    <row r="1" spans="1:16" ht="21" customHeight="1" x14ac:dyDescent="0.3">
      <c r="C1" s="8" t="s">
        <v>455</v>
      </c>
      <c r="H1" s="78" t="s">
        <v>25</v>
      </c>
      <c r="I1" s="78"/>
      <c r="J1" s="78"/>
    </row>
    <row r="2" spans="1:16" ht="21" customHeight="1" x14ac:dyDescent="0.3">
      <c r="H2" s="78" t="s">
        <v>456</v>
      </c>
      <c r="I2" s="78"/>
      <c r="J2" s="78"/>
    </row>
    <row r="3" spans="1:16" ht="18" customHeight="1" x14ac:dyDescent="0.35">
      <c r="B3" s="14"/>
      <c r="H3" s="14"/>
      <c r="I3" s="14"/>
      <c r="J3" s="14"/>
    </row>
    <row r="4" spans="1:16" s="15" customFormat="1" ht="15" customHeight="1" x14ac:dyDescent="0.3">
      <c r="A4" s="9" t="s">
        <v>457</v>
      </c>
      <c r="B4" s="9" t="s">
        <v>458</v>
      </c>
      <c r="C4" s="9" t="s">
        <v>459</v>
      </c>
      <c r="D4" s="9" t="s">
        <v>391</v>
      </c>
      <c r="E4" s="9" t="s">
        <v>460</v>
      </c>
      <c r="F4" s="9" t="s">
        <v>461</v>
      </c>
      <c r="G4" s="9" t="s">
        <v>462</v>
      </c>
      <c r="H4" s="9" t="s">
        <v>463</v>
      </c>
      <c r="I4" s="9" t="s">
        <v>389</v>
      </c>
      <c r="J4" s="9" t="s">
        <v>464</v>
      </c>
      <c r="K4" s="9" t="s">
        <v>28</v>
      </c>
      <c r="L4" s="9" t="s">
        <v>465</v>
      </c>
      <c r="M4" s="9" t="s">
        <v>395</v>
      </c>
      <c r="N4" s="9" t="s">
        <v>269</v>
      </c>
      <c r="O4" s="9" t="s">
        <v>322</v>
      </c>
      <c r="P4" s="9" t="s">
        <v>466</v>
      </c>
    </row>
    <row r="5" spans="1:16" s="19" customFormat="1" ht="14.25" customHeight="1" x14ac:dyDescent="0.3">
      <c r="A5" s="16" t="s">
        <v>270</v>
      </c>
      <c r="B5" s="16" t="s">
        <v>270</v>
      </c>
      <c r="C5" s="17" t="s">
        <v>323</v>
      </c>
      <c r="D5" s="18" t="s">
        <v>272</v>
      </c>
      <c r="G5" s="17" t="s">
        <v>271</v>
      </c>
      <c r="H5" s="17" t="s">
        <v>271</v>
      </c>
      <c r="I5" s="18" t="s">
        <v>272</v>
      </c>
      <c r="J5" s="18" t="s">
        <v>272</v>
      </c>
      <c r="K5" s="18" t="s">
        <v>272</v>
      </c>
      <c r="L5" s="18" t="s">
        <v>272</v>
      </c>
      <c r="M5" s="17" t="s">
        <v>271</v>
      </c>
      <c r="N5" s="16" t="s">
        <v>270</v>
      </c>
      <c r="O5" s="17" t="s">
        <v>271</v>
      </c>
      <c r="P5" s="20" t="s">
        <v>467</v>
      </c>
    </row>
    <row r="6" spans="1:16" ht="14.25" customHeight="1" x14ac:dyDescent="0.3">
      <c r="D6" s="21" t="s">
        <v>468</v>
      </c>
      <c r="I6" s="21" t="s">
        <v>468</v>
      </c>
      <c r="K6" s="21" t="s">
        <v>468</v>
      </c>
      <c r="L6" s="21" t="s">
        <v>468</v>
      </c>
    </row>
    <row r="7" spans="1:16" ht="38.25" customHeight="1" x14ac:dyDescent="0.3">
      <c r="A7" s="22" t="s">
        <v>469</v>
      </c>
      <c r="B7" s="23">
        <v>46240</v>
      </c>
      <c r="C7" s="10" t="s">
        <v>401</v>
      </c>
      <c r="D7" s="10" t="s">
        <v>275</v>
      </c>
      <c r="E7" s="10" t="s">
        <v>470</v>
      </c>
      <c r="F7" s="10" t="s">
        <v>471</v>
      </c>
      <c r="G7" s="23">
        <v>46266</v>
      </c>
      <c r="H7" s="24">
        <v>5000</v>
      </c>
      <c r="I7" s="10" t="s">
        <v>400</v>
      </c>
      <c r="J7" s="10" t="s">
        <v>76</v>
      </c>
      <c r="K7" s="10" t="s">
        <v>70</v>
      </c>
      <c r="L7" s="10" t="s">
        <v>71</v>
      </c>
      <c r="M7" s="10" t="s">
        <v>81</v>
      </c>
      <c r="N7" s="10" t="s">
        <v>126</v>
      </c>
      <c r="O7" s="10" t="s">
        <v>472</v>
      </c>
      <c r="P7" s="25">
        <v>0.02</v>
      </c>
    </row>
    <row r="8" spans="1:16" ht="15" customHeight="1" x14ac:dyDescent="0.3">
      <c r="A8" s="10" t="s">
        <v>473</v>
      </c>
      <c r="B8" s="23">
        <v>46241</v>
      </c>
      <c r="C8" s="10" t="s">
        <v>405</v>
      </c>
      <c r="D8" s="26" t="s">
        <v>275</v>
      </c>
      <c r="E8" s="10" t="s">
        <v>470</v>
      </c>
      <c r="F8" s="10" t="s">
        <v>471</v>
      </c>
      <c r="G8" s="23">
        <v>46275</v>
      </c>
      <c r="H8" s="24">
        <v>7000</v>
      </c>
      <c r="I8" s="10" t="s">
        <v>404</v>
      </c>
      <c r="J8" s="10" t="s">
        <v>113</v>
      </c>
      <c r="K8" s="10" t="s">
        <v>70</v>
      </c>
      <c r="L8" s="10" t="s">
        <v>71</v>
      </c>
      <c r="M8" s="10" t="s">
        <v>81</v>
      </c>
      <c r="N8" s="10" t="s">
        <v>126</v>
      </c>
      <c r="O8" s="10"/>
      <c r="P8" s="25">
        <v>0.02</v>
      </c>
    </row>
    <row r="9" spans="1:16" ht="14.25" customHeight="1" x14ac:dyDescent="0.3">
      <c r="A9" s="10" t="s">
        <v>474</v>
      </c>
      <c r="B9" s="23">
        <v>46244</v>
      </c>
      <c r="C9" s="10" t="s">
        <v>408</v>
      </c>
      <c r="D9" s="10" t="s">
        <v>281</v>
      </c>
      <c r="E9" s="10" t="s">
        <v>475</v>
      </c>
      <c r="F9" s="10" t="s">
        <v>476</v>
      </c>
      <c r="G9" s="23">
        <v>46285</v>
      </c>
      <c r="H9" s="24">
        <v>4000</v>
      </c>
      <c r="I9" s="10" t="s">
        <v>407</v>
      </c>
      <c r="J9" s="10" t="s">
        <v>178</v>
      </c>
      <c r="K9" s="10" t="s">
        <v>145</v>
      </c>
      <c r="L9" s="10" t="s">
        <v>71</v>
      </c>
      <c r="M9" s="10" t="s">
        <v>183</v>
      </c>
      <c r="N9" s="10" t="s">
        <v>126</v>
      </c>
      <c r="O9" s="10" t="s">
        <v>477</v>
      </c>
      <c r="P9" s="25">
        <v>0.03</v>
      </c>
    </row>
    <row r="10" spans="1:16" ht="14.25" customHeight="1" x14ac:dyDescent="0.3">
      <c r="A10" s="10" t="s">
        <v>478</v>
      </c>
      <c r="B10" s="23">
        <v>46246</v>
      </c>
      <c r="C10" s="10" t="s">
        <v>412</v>
      </c>
      <c r="D10" s="10" t="s">
        <v>287</v>
      </c>
      <c r="E10" s="10" t="s">
        <v>479</v>
      </c>
      <c r="F10" s="10" t="s">
        <v>480</v>
      </c>
      <c r="G10" s="23">
        <v>46290</v>
      </c>
      <c r="H10" s="24">
        <v>10000</v>
      </c>
      <c r="I10" s="10" t="s">
        <v>411</v>
      </c>
      <c r="J10" s="10" t="s">
        <v>223</v>
      </c>
      <c r="K10" s="10" t="s">
        <v>107</v>
      </c>
      <c r="L10" s="10" t="s">
        <v>71</v>
      </c>
      <c r="M10" s="10" t="s">
        <v>118</v>
      </c>
      <c r="N10" s="10" t="s">
        <v>91</v>
      </c>
      <c r="O10" s="10"/>
      <c r="P10" s="25">
        <v>0.02</v>
      </c>
    </row>
    <row r="11" spans="1:16" ht="14.25" customHeight="1" x14ac:dyDescent="0.3">
      <c r="A11" s="10" t="s">
        <v>481</v>
      </c>
      <c r="B11" s="23">
        <v>46248</v>
      </c>
      <c r="C11" s="10" t="s">
        <v>419</v>
      </c>
      <c r="D11" s="10" t="s">
        <v>293</v>
      </c>
      <c r="E11" s="10" t="s">
        <v>482</v>
      </c>
      <c r="F11" s="10" t="s">
        <v>483</v>
      </c>
      <c r="G11" s="23">
        <v>46300</v>
      </c>
      <c r="H11" s="24">
        <v>6000</v>
      </c>
      <c r="I11" s="10" t="s">
        <v>418</v>
      </c>
      <c r="J11" s="10" t="s">
        <v>151</v>
      </c>
      <c r="K11" s="10" t="s">
        <v>70</v>
      </c>
      <c r="L11" s="10" t="s">
        <v>108</v>
      </c>
      <c r="M11" s="10" t="s">
        <v>156</v>
      </c>
      <c r="N11" s="10" t="s">
        <v>91</v>
      </c>
      <c r="O11" s="10" t="s">
        <v>421</v>
      </c>
      <c r="P11" s="25">
        <v>0.02</v>
      </c>
    </row>
    <row r="12" spans="1:16" ht="14.25" customHeight="1" x14ac:dyDescent="0.3">
      <c r="A12" s="10" t="s">
        <v>484</v>
      </c>
      <c r="B12" s="23">
        <v>46252</v>
      </c>
      <c r="C12" s="10" t="s">
        <v>423</v>
      </c>
      <c r="D12" s="10" t="s">
        <v>299</v>
      </c>
      <c r="E12" s="10" t="s">
        <v>485</v>
      </c>
      <c r="F12" s="10" t="s">
        <v>486</v>
      </c>
      <c r="G12" s="23">
        <v>46310</v>
      </c>
      <c r="H12" s="24">
        <v>3500</v>
      </c>
      <c r="I12" s="10" t="s">
        <v>422</v>
      </c>
      <c r="J12" s="10" t="s">
        <v>236</v>
      </c>
      <c r="K12" s="10" t="s">
        <v>107</v>
      </c>
      <c r="L12" s="10" t="s">
        <v>71</v>
      </c>
      <c r="M12" s="10" t="s">
        <v>81</v>
      </c>
      <c r="N12" s="10" t="s">
        <v>91</v>
      </c>
      <c r="O12" s="10"/>
      <c r="P12" s="25">
        <v>0.03</v>
      </c>
    </row>
    <row r="13" spans="1:16" ht="14.25" customHeight="1" x14ac:dyDescent="0.3">
      <c r="A13" s="10" t="s">
        <v>487</v>
      </c>
      <c r="B13" s="23">
        <v>46254</v>
      </c>
      <c r="C13" s="10" t="s">
        <v>416</v>
      </c>
      <c r="D13" s="10" t="s">
        <v>287</v>
      </c>
      <c r="E13" s="10" t="s">
        <v>479</v>
      </c>
      <c r="F13" s="10" t="s">
        <v>480</v>
      </c>
      <c r="G13" s="23">
        <v>46315</v>
      </c>
      <c r="H13" s="24">
        <v>8000</v>
      </c>
      <c r="I13" s="10" t="s">
        <v>415</v>
      </c>
      <c r="J13" s="10" t="s">
        <v>202</v>
      </c>
      <c r="K13" s="10" t="s">
        <v>107</v>
      </c>
      <c r="L13" s="10" t="s">
        <v>71</v>
      </c>
      <c r="M13" s="10" t="s">
        <v>118</v>
      </c>
      <c r="N13" s="10" t="s">
        <v>91</v>
      </c>
      <c r="O13" s="10"/>
      <c r="P13" s="25">
        <v>0.02</v>
      </c>
    </row>
  </sheetData>
  <mergeCells count="2">
    <mergeCell ref="H1:J1"/>
    <mergeCell ref="H2:J2"/>
  </mergeCells>
  <dataValidations count="7">
    <dataValidation type="list" allowBlank="1" errorTitle="Not in master" error="Value must be chosen from the master list." promptTitle="Master-driven list" prompt="Select from M_BuyerName" sqref="D7:D500" xr:uid="{00000000-0002-0000-0600-000000000000}">
      <formula1>M_BuyerName</formula1>
      <formula2>0</formula2>
    </dataValidation>
    <dataValidation type="list" allowBlank="1" errorTitle="Not in master" error="Value must be chosen from the master list." promptTitle="Master-driven list" prompt="Select from M_StyleNo" sqref="I7:I500" xr:uid="{00000000-0002-0000-0600-000001000000}">
      <formula1>M_StyleNo</formula1>
      <formula2>0</formula2>
    </dataValidation>
    <dataValidation type="list" allowBlank="1" errorTitle="Not in master" error="Value must be chosen from the master list." promptTitle="Master-driven list" prompt="Select from L_ColorCode" sqref="J7:J500" xr:uid="{00000000-0002-0000-0600-000002000000}">
      <formula1>L_ColorCode</formula1>
      <formula2>0</formula2>
    </dataValidation>
    <dataValidation type="list" allowBlank="1" errorTitle="Not in master" error="Value must be chosen from the master list." promptTitle="Master-driven list" prompt="Select from L_Currency" sqref="K7:K500" xr:uid="{00000000-0002-0000-0600-000003000000}">
      <formula1>L_Currency</formula1>
      <formula2>0</formula2>
    </dataValidation>
    <dataValidation type="list" allowBlank="1" errorTitle="Not in master" error="Value must be chosen from the master list." promptTitle="Master-driven list" prompt="Select from L_ShipMode" sqref="L7:L500" xr:uid="{00000000-0002-0000-0600-000004000000}">
      <formula1>L_ShipMode</formula1>
      <formula2>0</formula2>
    </dataValidation>
    <dataValidation type="list" allowBlank="1" errorTitle="Not in master" error="Value must be chosen from the master list." promptTitle="Master-driven list" prompt="Select from L_SizeGroup" sqref="M7:M500" xr:uid="{00000000-0002-0000-0600-000005000000}">
      <formula1>L_SizeGroup</formula1>
      <formula2>0</formula2>
    </dataValidation>
    <dataValidation type="list" allowBlank="1" errorTitle="Not in master" error="Value must be chosen from the master list." promptTitle="Master-driven list" prompt="Select from L_StatusGeneral" sqref="N7:N500" xr:uid="{00000000-0002-0000-0600-000006000000}">
      <formula1>L_StatusGeneral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J11"/>
  <sheetViews>
    <sheetView tabSelected="1" zoomScaleNormal="100" workbookViewId="0">
      <selection sqref="A1:I11"/>
    </sheetView>
  </sheetViews>
  <sheetFormatPr defaultColWidth="8.5546875" defaultRowHeight="14.4" x14ac:dyDescent="0.3"/>
  <cols>
    <col min="2" max="2" width="13.6640625" customWidth="1"/>
    <col min="6" max="6" width="13.77734375" customWidth="1"/>
  </cols>
  <sheetData>
    <row r="1" spans="1:10" ht="23.25" customHeight="1" x14ac:dyDescent="0.3">
      <c r="A1" s="21" t="s">
        <v>488</v>
      </c>
      <c r="F1" s="77" t="s">
        <v>25</v>
      </c>
      <c r="G1" s="77"/>
      <c r="H1" s="77"/>
      <c r="J1" s="27"/>
    </row>
    <row r="2" spans="1:10" ht="15" customHeight="1" x14ac:dyDescent="0.3">
      <c r="E2" s="78" t="s">
        <v>489</v>
      </c>
      <c r="F2" s="78"/>
      <c r="G2" s="78"/>
      <c r="H2" s="78"/>
      <c r="I2" s="78"/>
    </row>
    <row r="3" spans="1:10" ht="14.25" customHeight="1" x14ac:dyDescent="0.3">
      <c r="E3" s="1"/>
      <c r="F3" s="1"/>
      <c r="G3" s="1"/>
      <c r="H3" s="1"/>
      <c r="I3" s="1"/>
    </row>
    <row r="4" spans="1:10" ht="15" customHeight="1" x14ac:dyDescent="0.3">
      <c r="C4" s="80" t="s">
        <v>490</v>
      </c>
      <c r="D4" s="80"/>
      <c r="E4" s="80"/>
      <c r="F4" s="28" t="s">
        <v>272</v>
      </c>
    </row>
    <row r="5" spans="1:10" ht="15" customHeight="1" x14ac:dyDescent="0.3">
      <c r="C5" s="80" t="s">
        <v>491</v>
      </c>
      <c r="D5" s="80"/>
      <c r="E5" s="80"/>
      <c r="F5" s="29" t="s">
        <v>271</v>
      </c>
    </row>
    <row r="6" spans="1:10" ht="15" customHeight="1" x14ac:dyDescent="0.3">
      <c r="C6" s="80" t="s">
        <v>457</v>
      </c>
      <c r="D6" s="80"/>
      <c r="E6" s="80"/>
      <c r="F6" s="28" t="s">
        <v>272</v>
      </c>
    </row>
    <row r="7" spans="1:10" ht="14.25" customHeight="1" x14ac:dyDescent="0.3">
      <c r="C7" s="79" t="s">
        <v>389</v>
      </c>
      <c r="D7" s="79"/>
      <c r="E7" s="79"/>
      <c r="F7" s="11" t="s">
        <v>492</v>
      </c>
    </row>
    <row r="8" spans="1:10" ht="14.25" customHeight="1" x14ac:dyDescent="0.3">
      <c r="C8" s="79" t="s">
        <v>463</v>
      </c>
      <c r="D8" s="79"/>
      <c r="E8" s="79"/>
      <c r="F8" s="11">
        <v>10000</v>
      </c>
    </row>
    <row r="9" spans="1:10" ht="14.25" customHeight="1" x14ac:dyDescent="0.3">
      <c r="C9" s="19"/>
      <c r="D9" s="19"/>
      <c r="E9" s="19"/>
    </row>
    <row r="11" spans="1:10" ht="14.25" customHeight="1" x14ac:dyDescent="0.3">
      <c r="A11" s="11" t="s">
        <v>493</v>
      </c>
      <c r="B11" s="11" t="s">
        <v>494</v>
      </c>
      <c r="C11" s="11" t="s">
        <v>495</v>
      </c>
      <c r="D11" s="11" t="s">
        <v>496</v>
      </c>
    </row>
  </sheetData>
  <mergeCells count="7">
    <mergeCell ref="C7:E7"/>
    <mergeCell ref="C8:E8"/>
    <mergeCell ref="F1:H1"/>
    <mergeCell ref="E2:I2"/>
    <mergeCell ref="C4:E4"/>
    <mergeCell ref="C5:E5"/>
    <mergeCell ref="C6:E6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K13"/>
  <sheetViews>
    <sheetView zoomScaleNormal="100" workbookViewId="0">
      <pane ySplit="6" topLeftCell="A7" activePane="bottomLeft" state="frozen"/>
      <selection pane="bottomLeft" activeCell="H5" sqref="H5"/>
    </sheetView>
  </sheetViews>
  <sheetFormatPr defaultColWidth="8.5546875" defaultRowHeight="14.4" x14ac:dyDescent="0.3"/>
  <cols>
    <col min="1" max="1" width="13" customWidth="1"/>
    <col min="2" max="2" width="21" customWidth="1"/>
    <col min="3" max="3" width="12.44140625" customWidth="1"/>
    <col min="4" max="4" width="21" customWidth="1"/>
    <col min="5" max="5" width="16" customWidth="1"/>
    <col min="6" max="6" width="13" customWidth="1"/>
    <col min="7" max="7" width="12" customWidth="1"/>
    <col min="8" max="8" width="13" customWidth="1"/>
    <col min="9" max="9" width="26" customWidth="1"/>
  </cols>
  <sheetData>
    <row r="1" spans="1:11" ht="23.25" customHeight="1" x14ac:dyDescent="0.3">
      <c r="A1" s="21" t="s">
        <v>488</v>
      </c>
      <c r="E1" s="77" t="s">
        <v>25</v>
      </c>
      <c r="F1" s="77"/>
      <c r="G1" s="77"/>
      <c r="K1" s="27"/>
    </row>
    <row r="2" spans="1:11" ht="14.25" customHeight="1" x14ac:dyDescent="0.3">
      <c r="E2" s="81"/>
      <c r="F2" s="81"/>
      <c r="G2" s="81"/>
      <c r="H2" s="81"/>
    </row>
    <row r="3" spans="1:11" ht="18" customHeight="1" x14ac:dyDescent="0.35">
      <c r="B3" s="30"/>
      <c r="C3" s="30"/>
      <c r="D3" s="30"/>
      <c r="F3" s="30"/>
      <c r="G3" s="30"/>
      <c r="H3" s="14"/>
    </row>
    <row r="4" spans="1:11" ht="15" customHeight="1" x14ac:dyDescent="0.3">
      <c r="A4" s="9" t="s">
        <v>457</v>
      </c>
      <c r="B4" s="9" t="s">
        <v>493</v>
      </c>
      <c r="C4" s="9" t="s">
        <v>463</v>
      </c>
      <c r="D4" s="31" t="s">
        <v>497</v>
      </c>
      <c r="E4" s="9" t="s">
        <v>491</v>
      </c>
      <c r="F4" s="9" t="s">
        <v>389</v>
      </c>
      <c r="G4" s="9" t="s">
        <v>40</v>
      </c>
      <c r="H4" s="9" t="s">
        <v>269</v>
      </c>
      <c r="I4" s="9" t="s">
        <v>322</v>
      </c>
    </row>
    <row r="5" spans="1:11" s="19" customFormat="1" ht="14.25" customHeight="1" x14ac:dyDescent="0.3">
      <c r="A5" s="16" t="s">
        <v>270</v>
      </c>
      <c r="B5" s="16" t="s">
        <v>270</v>
      </c>
      <c r="C5" s="16" t="s">
        <v>270</v>
      </c>
      <c r="D5" s="18" t="s">
        <v>498</v>
      </c>
      <c r="E5" s="66" t="s">
        <v>271</v>
      </c>
      <c r="F5" s="66" t="s">
        <v>271</v>
      </c>
      <c r="G5" s="32" t="s">
        <v>272</v>
      </c>
      <c r="H5" s="66" t="s">
        <v>271</v>
      </c>
      <c r="I5" s="17" t="s">
        <v>323</v>
      </c>
    </row>
    <row r="6" spans="1:11" ht="14.25" customHeight="1" x14ac:dyDescent="0.3">
      <c r="D6" s="21" t="s">
        <v>499</v>
      </c>
      <c r="G6" s="33" t="s">
        <v>468</v>
      </c>
    </row>
    <row r="7" spans="1:11" ht="14.25" customHeight="1" x14ac:dyDescent="0.3">
      <c r="A7" s="10" t="s">
        <v>469</v>
      </c>
      <c r="B7" s="23">
        <v>46246</v>
      </c>
      <c r="C7" s="24">
        <v>5000</v>
      </c>
      <c r="D7" s="10" t="s">
        <v>84</v>
      </c>
      <c r="E7" s="10" t="s">
        <v>85</v>
      </c>
      <c r="F7" s="10" t="s">
        <v>400</v>
      </c>
      <c r="G7" s="10" t="s">
        <v>87</v>
      </c>
      <c r="H7" s="10" t="s">
        <v>162</v>
      </c>
      <c r="I7" s="10" t="s">
        <v>500</v>
      </c>
    </row>
    <row r="8" spans="1:11" ht="14.25" customHeight="1" x14ac:dyDescent="0.3">
      <c r="A8" s="10" t="s">
        <v>469</v>
      </c>
      <c r="B8" s="23">
        <v>46251</v>
      </c>
      <c r="C8" s="24">
        <v>5000</v>
      </c>
      <c r="D8" s="10" t="s">
        <v>84</v>
      </c>
      <c r="E8" s="10" t="s">
        <v>85</v>
      </c>
      <c r="F8" s="10" t="s">
        <v>400</v>
      </c>
      <c r="G8" s="10" t="s">
        <v>143</v>
      </c>
      <c r="H8" s="10" t="s">
        <v>126</v>
      </c>
      <c r="I8" s="10" t="s">
        <v>501</v>
      </c>
    </row>
    <row r="9" spans="1:11" ht="14.25" customHeight="1" x14ac:dyDescent="0.3">
      <c r="A9" s="10" t="s">
        <v>473</v>
      </c>
      <c r="B9" s="23">
        <v>46250</v>
      </c>
      <c r="C9" s="24">
        <v>7000</v>
      </c>
      <c r="D9" s="10" t="s">
        <v>121</v>
      </c>
      <c r="E9" s="10" t="s">
        <v>122</v>
      </c>
      <c r="F9" s="10" t="s">
        <v>404</v>
      </c>
      <c r="G9" s="10" t="s">
        <v>87</v>
      </c>
      <c r="H9" s="10" t="s">
        <v>162</v>
      </c>
      <c r="I9" s="10"/>
    </row>
    <row r="10" spans="1:11" ht="14.25" customHeight="1" x14ac:dyDescent="0.3">
      <c r="A10" s="10" t="s">
        <v>473</v>
      </c>
      <c r="B10" s="23">
        <v>46254</v>
      </c>
      <c r="C10" s="24">
        <v>7000</v>
      </c>
      <c r="D10" s="10" t="s">
        <v>121</v>
      </c>
      <c r="E10" s="10" t="s">
        <v>122</v>
      </c>
      <c r="F10" s="10" t="s">
        <v>404</v>
      </c>
      <c r="G10" s="10" t="s">
        <v>143</v>
      </c>
      <c r="H10" s="10" t="s">
        <v>126</v>
      </c>
      <c r="I10" s="10"/>
    </row>
    <row r="11" spans="1:11" ht="14.25" customHeight="1" x14ac:dyDescent="0.3">
      <c r="A11" s="10" t="s">
        <v>474</v>
      </c>
      <c r="B11" s="23">
        <v>46252</v>
      </c>
      <c r="C11" s="24">
        <v>4000</v>
      </c>
      <c r="D11" s="10" t="s">
        <v>158</v>
      </c>
      <c r="E11" s="10" t="s">
        <v>159</v>
      </c>
      <c r="F11" s="10" t="s">
        <v>407</v>
      </c>
      <c r="G11" s="10" t="s">
        <v>87</v>
      </c>
      <c r="H11" s="10" t="s">
        <v>126</v>
      </c>
      <c r="I11" s="10" t="s">
        <v>502</v>
      </c>
    </row>
    <row r="12" spans="1:11" ht="28.5" customHeight="1" x14ac:dyDescent="0.3">
      <c r="A12" s="10" t="s">
        <v>478</v>
      </c>
      <c r="B12" s="23">
        <v>46256</v>
      </c>
      <c r="C12" s="24">
        <v>10000</v>
      </c>
      <c r="D12" s="34" t="s">
        <v>184</v>
      </c>
      <c r="E12" s="10" t="s">
        <v>185</v>
      </c>
      <c r="F12" s="10" t="s">
        <v>411</v>
      </c>
      <c r="G12" s="10" t="s">
        <v>87</v>
      </c>
      <c r="H12" s="10" t="s">
        <v>91</v>
      </c>
      <c r="I12" s="10" t="s">
        <v>503</v>
      </c>
    </row>
    <row r="13" spans="1:11" ht="14.25" customHeight="1" x14ac:dyDescent="0.3">
      <c r="A13" s="10" t="s">
        <v>481</v>
      </c>
      <c r="B13" s="23">
        <v>46259</v>
      </c>
      <c r="C13" s="24">
        <v>6000</v>
      </c>
      <c r="D13" s="10" t="s">
        <v>84</v>
      </c>
      <c r="E13" s="10" t="s">
        <v>208</v>
      </c>
      <c r="F13" s="10" t="s">
        <v>418</v>
      </c>
      <c r="G13" s="10" t="s">
        <v>171</v>
      </c>
      <c r="H13" s="10" t="s">
        <v>91</v>
      </c>
      <c r="I13" s="10" t="s">
        <v>504</v>
      </c>
    </row>
  </sheetData>
  <mergeCells count="2">
    <mergeCell ref="E1:G1"/>
    <mergeCell ref="E2:H2"/>
  </mergeCells>
  <dataValidations count="6">
    <dataValidation type="list" allowBlank="1" errorTitle="Not in master" error="Value must be chosen from the master list." promptTitle="Master-driven list" prompt="Select from M_OrderNo" sqref="A7:A500" xr:uid="{00000000-0002-0000-0800-000000000000}">
      <formula1>M_OrderNo</formula1>
      <formula2>0</formula2>
    </dataValidation>
    <dataValidation type="list" allowBlank="1" errorTitle="Not in master" error="Value must be chosen from the master list." promptTitle="Master-driven list" prompt="Select from L_StitchingUnit" sqref="D7:D500" xr:uid="{00000000-0002-0000-0800-000001000000}">
      <formula1>L_StitchingUnit</formula1>
      <formula2>0</formula2>
    </dataValidation>
    <dataValidation type="list" allowBlank="1" errorTitle="Not in master" error="Value must be chosen from the master list." promptTitle="Master-driven list" prompt="Select from L_ContainerNo" sqref="E7:E500" xr:uid="{00000000-0002-0000-0800-000002000000}">
      <formula1>L_ContainerNo</formula1>
      <formula2>0</formula2>
    </dataValidation>
    <dataValidation type="list" allowBlank="1" errorTitle="Not in master" error="Value must be chosen from the master list." promptTitle="Master-driven list" prompt="Select from M_StyleNo" sqref="F7:F500" xr:uid="{00000000-0002-0000-0800-000003000000}">
      <formula1>M_StyleNo</formula1>
      <formula2>0</formula2>
    </dataValidation>
    <dataValidation type="list" allowBlank="1" errorTitle="Not in master" error="Value must be chosen from the master list." promptTitle="Master-driven list" prompt="Select from L_PlanDept" sqref="G7:G500" xr:uid="{00000000-0002-0000-0800-000004000000}">
      <formula1>L_PlanDept</formula1>
      <formula2>0</formula2>
    </dataValidation>
    <dataValidation type="list" allowBlank="1" errorTitle="Not in master" error="Value must be chosen from the master list." promptTitle="Master-driven list" prompt="Select from L_StatusGeneral" sqref="H7:H500" xr:uid="{00000000-0002-0000-0800-000005000000}">
      <formula1>L_StatusGeneral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N13"/>
  <sheetViews>
    <sheetView showGridLines="0" topLeftCell="G1" zoomScaleNormal="100" workbookViewId="0">
      <pane ySplit="6" topLeftCell="A7" activePane="bottomLeft" state="frozen"/>
      <selection pane="bottomLeft" activeCell="J5" sqref="J5"/>
    </sheetView>
  </sheetViews>
  <sheetFormatPr defaultColWidth="8.5546875" defaultRowHeight="14.4" x14ac:dyDescent="0.3"/>
  <cols>
    <col min="1" max="8" width="32" customWidth="1"/>
    <col min="9" max="9" width="21" customWidth="1"/>
    <col min="10" max="11" width="27" customWidth="1"/>
    <col min="12" max="12" width="14" customWidth="1"/>
  </cols>
  <sheetData>
    <row r="1" spans="1:14" ht="21" customHeight="1" x14ac:dyDescent="0.3">
      <c r="A1" s="8" t="s">
        <v>505</v>
      </c>
      <c r="C1" s="77" t="s">
        <v>25</v>
      </c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</row>
    <row r="2" spans="1:14" ht="21" customHeight="1" x14ac:dyDescent="0.3">
      <c r="A2" s="2"/>
      <c r="C2" s="78" t="s">
        <v>506</v>
      </c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</row>
    <row r="3" spans="1:14" ht="12" customHeight="1" x14ac:dyDescent="0.3"/>
    <row r="4" spans="1:14" ht="30" customHeight="1" x14ac:dyDescent="0.3">
      <c r="A4" s="9" t="s">
        <v>507</v>
      </c>
      <c r="B4" s="9" t="s">
        <v>493</v>
      </c>
      <c r="C4" s="9" t="s">
        <v>508</v>
      </c>
      <c r="D4" s="9" t="s">
        <v>318</v>
      </c>
      <c r="E4" s="9" t="s">
        <v>509</v>
      </c>
      <c r="F4" s="9" t="s">
        <v>30</v>
      </c>
      <c r="G4" s="9" t="s">
        <v>510</v>
      </c>
      <c r="H4" s="9" t="s">
        <v>511</v>
      </c>
      <c r="I4" s="9" t="s">
        <v>512</v>
      </c>
      <c r="J4" s="9" t="s">
        <v>513</v>
      </c>
      <c r="K4" s="9" t="s">
        <v>322</v>
      </c>
    </row>
    <row r="5" spans="1:14" ht="14.25" customHeight="1" x14ac:dyDescent="0.3">
      <c r="A5" s="35" t="s">
        <v>270</v>
      </c>
      <c r="B5" s="35" t="s">
        <v>270</v>
      </c>
      <c r="C5" s="36" t="s">
        <v>272</v>
      </c>
      <c r="D5" s="36" t="s">
        <v>272</v>
      </c>
      <c r="E5" s="37" t="s">
        <v>271</v>
      </c>
      <c r="F5" s="36" t="s">
        <v>272</v>
      </c>
      <c r="G5" s="37" t="s">
        <v>271</v>
      </c>
      <c r="H5" s="35" t="s">
        <v>514</v>
      </c>
      <c r="I5" s="36" t="s">
        <v>272</v>
      </c>
      <c r="J5" s="67" t="s">
        <v>270</v>
      </c>
      <c r="K5" s="37" t="s">
        <v>323</v>
      </c>
    </row>
    <row r="6" spans="1:14" ht="28.5" customHeight="1" x14ac:dyDescent="0.3">
      <c r="C6" s="38" t="s">
        <v>515</v>
      </c>
      <c r="D6" s="38" t="s">
        <v>516</v>
      </c>
      <c r="H6" s="38" t="s">
        <v>517</v>
      </c>
      <c r="I6" s="39" t="s">
        <v>518</v>
      </c>
      <c r="J6" s="38" t="s">
        <v>519</v>
      </c>
    </row>
    <row r="7" spans="1:14" ht="14.25" customHeight="1" x14ac:dyDescent="0.3">
      <c r="A7" s="10" t="s">
        <v>520</v>
      </c>
      <c r="B7" s="23">
        <v>46238</v>
      </c>
      <c r="C7" s="10" t="s">
        <v>73</v>
      </c>
      <c r="D7" s="10" t="s">
        <v>326</v>
      </c>
      <c r="E7" s="13">
        <v>178</v>
      </c>
      <c r="F7" s="10" t="s">
        <v>72</v>
      </c>
      <c r="G7" s="13">
        <v>4500</v>
      </c>
      <c r="H7" s="40">
        <f t="shared" ref="H7:H13" si="0">E7*G7</f>
        <v>801000</v>
      </c>
      <c r="I7" s="10" t="s">
        <v>96</v>
      </c>
      <c r="J7" s="10" t="s">
        <v>93</v>
      </c>
      <c r="K7" s="10" t="s">
        <v>521</v>
      </c>
    </row>
    <row r="8" spans="1:14" ht="14.25" customHeight="1" x14ac:dyDescent="0.3">
      <c r="A8" s="10" t="s">
        <v>522</v>
      </c>
      <c r="B8" s="23">
        <v>46238</v>
      </c>
      <c r="C8" s="10" t="s">
        <v>73</v>
      </c>
      <c r="D8" s="10" t="s">
        <v>344</v>
      </c>
      <c r="E8" s="13">
        <v>186</v>
      </c>
      <c r="F8" s="10" t="s">
        <v>72</v>
      </c>
      <c r="G8" s="13">
        <v>4500</v>
      </c>
      <c r="H8" s="40">
        <f t="shared" si="0"/>
        <v>837000</v>
      </c>
      <c r="I8" s="10" t="s">
        <v>96</v>
      </c>
      <c r="J8" s="10" t="s">
        <v>128</v>
      </c>
      <c r="K8" s="10" t="s">
        <v>523</v>
      </c>
    </row>
    <row r="9" spans="1:14" ht="14.25" customHeight="1" x14ac:dyDescent="0.3">
      <c r="A9" s="10" t="s">
        <v>524</v>
      </c>
      <c r="B9" s="23">
        <v>46239</v>
      </c>
      <c r="C9" s="10" t="s">
        <v>110</v>
      </c>
      <c r="D9" s="10" t="s">
        <v>335</v>
      </c>
      <c r="E9" s="13">
        <v>12</v>
      </c>
      <c r="F9" s="10" t="s">
        <v>147</v>
      </c>
      <c r="G9" s="13">
        <v>9000</v>
      </c>
      <c r="H9" s="40">
        <f t="shared" si="0"/>
        <v>108000</v>
      </c>
      <c r="I9" s="10" t="s">
        <v>96</v>
      </c>
      <c r="J9" s="10" t="s">
        <v>93</v>
      </c>
      <c r="K9" s="10" t="s">
        <v>525</v>
      </c>
    </row>
    <row r="10" spans="1:14" ht="14.25" customHeight="1" x14ac:dyDescent="0.3">
      <c r="A10" s="10" t="s">
        <v>526</v>
      </c>
      <c r="B10" s="23">
        <v>46242</v>
      </c>
      <c r="C10" s="10" t="s">
        <v>73</v>
      </c>
      <c r="D10" s="10" t="s">
        <v>326</v>
      </c>
      <c r="E10" s="13">
        <v>182</v>
      </c>
      <c r="F10" s="10" t="s">
        <v>72</v>
      </c>
      <c r="G10" s="13">
        <v>6200</v>
      </c>
      <c r="H10" s="40">
        <f t="shared" si="0"/>
        <v>1128400</v>
      </c>
      <c r="I10" s="10" t="s">
        <v>96</v>
      </c>
      <c r="J10" s="10" t="s">
        <v>93</v>
      </c>
      <c r="K10" s="10" t="s">
        <v>527</v>
      </c>
    </row>
    <row r="11" spans="1:14" ht="14.25" customHeight="1" x14ac:dyDescent="0.3">
      <c r="A11" s="10" t="s">
        <v>528</v>
      </c>
      <c r="B11" s="23">
        <v>46243</v>
      </c>
      <c r="C11" s="10" t="s">
        <v>110</v>
      </c>
      <c r="D11" s="10" t="s">
        <v>335</v>
      </c>
      <c r="E11" s="13">
        <v>4</v>
      </c>
      <c r="F11" s="10" t="s">
        <v>147</v>
      </c>
      <c r="G11" s="13">
        <v>12000</v>
      </c>
      <c r="H11" s="40">
        <f t="shared" si="0"/>
        <v>48000</v>
      </c>
      <c r="I11" s="10" t="s">
        <v>96</v>
      </c>
      <c r="J11" s="10" t="s">
        <v>91</v>
      </c>
      <c r="K11" s="10" t="s">
        <v>529</v>
      </c>
    </row>
    <row r="12" spans="1:14" ht="14.25" customHeight="1" x14ac:dyDescent="0.3">
      <c r="A12" s="10" t="s">
        <v>530</v>
      </c>
      <c r="B12" s="23">
        <v>46245</v>
      </c>
      <c r="C12" s="10" t="s">
        <v>73</v>
      </c>
      <c r="D12" s="10" t="s">
        <v>326</v>
      </c>
      <c r="E12" s="13">
        <v>165</v>
      </c>
      <c r="F12" s="10" t="s">
        <v>72</v>
      </c>
      <c r="G12" s="13">
        <v>3400</v>
      </c>
      <c r="H12" s="40">
        <f t="shared" si="0"/>
        <v>561000</v>
      </c>
      <c r="I12" s="10" t="s">
        <v>96</v>
      </c>
      <c r="J12" s="10" t="s">
        <v>93</v>
      </c>
      <c r="K12" s="10" t="s">
        <v>531</v>
      </c>
    </row>
    <row r="13" spans="1:14" ht="14.25" customHeight="1" x14ac:dyDescent="0.3">
      <c r="A13" s="10" t="s">
        <v>532</v>
      </c>
      <c r="B13" s="23">
        <v>46247</v>
      </c>
      <c r="C13" s="10" t="s">
        <v>199</v>
      </c>
      <c r="D13" s="10" t="s">
        <v>335</v>
      </c>
      <c r="E13" s="13">
        <v>3</v>
      </c>
      <c r="F13" s="10" t="s">
        <v>147</v>
      </c>
      <c r="G13" s="13">
        <v>20000</v>
      </c>
      <c r="H13" s="40">
        <f t="shared" si="0"/>
        <v>60000</v>
      </c>
      <c r="I13" s="10" t="s">
        <v>96</v>
      </c>
      <c r="J13" s="10" t="s">
        <v>93</v>
      </c>
      <c r="K13" s="10" t="s">
        <v>533</v>
      </c>
    </row>
  </sheetData>
  <mergeCells count="2">
    <mergeCell ref="C1:N1"/>
    <mergeCell ref="C2:N2"/>
  </mergeCells>
  <dataValidations count="5">
    <dataValidation type="list" allowBlank="1" errorTitle="Not in master" error="Value must be chosen from the master list." promptTitle="Master-driven list" prompt="Select from L_ItemCategory" sqref="C7:C500" xr:uid="{00000000-0002-0000-0900-000000000000}">
      <formula1>L_ItemCategory</formula1>
      <formula2>0</formula2>
    </dataValidation>
    <dataValidation type="list" allowBlank="1" errorTitle="Not in master" error="Value must be chosen from the master list." promptTitle="Master-driven list" prompt="Select from M_VendorName" sqref="D7:D500" xr:uid="{00000000-0002-0000-0900-000001000000}">
      <formula1>M_VendorName</formula1>
      <formula2>0</formula2>
    </dataValidation>
    <dataValidation type="list" allowBlank="1" errorTitle="Not in master" error="Value must be chosen from the master list." promptTitle="Master-driven list" prompt="Select from L_UOM" sqref="F7:F500" xr:uid="{00000000-0002-0000-0900-000002000000}">
      <formula1>L_UOM</formula1>
      <formula2>0</formula2>
    </dataValidation>
    <dataValidation type="list" allowBlank="1" errorTitle="Not in master" error="Value must be chosen from the master list." promptTitle="Master-driven list" prompt="Select from L_AuthorisedBy" sqref="I7:I500" xr:uid="{00000000-0002-0000-0900-000003000000}">
      <formula1>L_AuthorisedBy</formula1>
      <formula2>0</formula2>
    </dataValidation>
    <dataValidation type="list" allowBlank="1" errorTitle="Not in master" error="Value must be chosen from the master list." promptTitle="Master-driven list" prompt="Select from L_StatusApproval" sqref="J7:J500" xr:uid="{00000000-0002-0000-0900-000004000000}">
      <formula1>L_StatusApproval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U13"/>
  <sheetViews>
    <sheetView topLeftCell="I1" zoomScaleNormal="100" workbookViewId="0">
      <pane ySplit="6" topLeftCell="A7" activePane="bottomLeft" state="frozen"/>
      <selection activeCell="D1" sqref="D1"/>
      <selection pane="bottomLeft" activeCell="R5" sqref="R5"/>
    </sheetView>
  </sheetViews>
  <sheetFormatPr defaultColWidth="8.5546875" defaultRowHeight="14.4" x14ac:dyDescent="0.3"/>
  <cols>
    <col min="1" max="2" width="21" customWidth="1"/>
    <col min="3" max="3" width="13" customWidth="1"/>
    <col min="4" max="4" width="16" customWidth="1"/>
    <col min="5" max="5" width="32" customWidth="1"/>
    <col min="6" max="6" width="16" customWidth="1"/>
    <col min="7" max="7" width="19" customWidth="1"/>
    <col min="8" max="8" width="21" customWidth="1"/>
    <col min="9" max="9" width="10" customWidth="1"/>
    <col min="10" max="10" width="11" customWidth="1"/>
    <col min="11" max="11" width="9" customWidth="1"/>
    <col min="12" max="12" width="11.6640625" customWidth="1"/>
    <col min="13" max="13" width="10.21875" customWidth="1"/>
    <col min="14" max="14" width="10" customWidth="1"/>
    <col min="15" max="15" width="19" customWidth="1"/>
    <col min="16" max="16" width="13" customWidth="1"/>
    <col min="17" max="17" width="9" customWidth="1"/>
    <col min="18" max="18" width="13" customWidth="1"/>
    <col min="19" max="19" width="30" customWidth="1"/>
  </cols>
  <sheetData>
    <row r="1" spans="1:21" ht="21" customHeight="1" x14ac:dyDescent="0.3">
      <c r="A1" s="21" t="s">
        <v>534</v>
      </c>
      <c r="G1" s="77" t="s">
        <v>25</v>
      </c>
      <c r="H1" s="77"/>
      <c r="I1" s="77"/>
      <c r="J1" s="77"/>
      <c r="K1" s="77"/>
      <c r="L1" s="77"/>
      <c r="U1" s="27"/>
    </row>
    <row r="2" spans="1:21" ht="21" customHeight="1" x14ac:dyDescent="0.3">
      <c r="G2" s="78" t="s">
        <v>535</v>
      </c>
      <c r="H2" s="78"/>
      <c r="I2" s="78"/>
      <c r="J2" s="78"/>
      <c r="K2" s="78"/>
      <c r="L2" s="78"/>
    </row>
    <row r="3" spans="1:21" ht="18" customHeight="1" x14ac:dyDescent="0.35">
      <c r="A3" s="2" t="s">
        <v>536</v>
      </c>
      <c r="G3" s="14"/>
      <c r="H3" s="14"/>
      <c r="I3" s="14"/>
      <c r="J3" s="14"/>
      <c r="K3" s="30"/>
      <c r="L3" s="30"/>
    </row>
    <row r="4" spans="1:21" ht="15" customHeight="1" x14ac:dyDescent="0.3">
      <c r="A4" s="9" t="s">
        <v>537</v>
      </c>
      <c r="B4" s="9" t="s">
        <v>493</v>
      </c>
      <c r="C4" s="9" t="s">
        <v>508</v>
      </c>
      <c r="D4" s="9" t="s">
        <v>538</v>
      </c>
      <c r="E4" s="9" t="s">
        <v>539</v>
      </c>
      <c r="F4" s="9" t="s">
        <v>540</v>
      </c>
      <c r="G4" s="9" t="s">
        <v>541</v>
      </c>
      <c r="H4" s="9" t="s">
        <v>264</v>
      </c>
      <c r="I4" s="9" t="s">
        <v>30</v>
      </c>
      <c r="J4" s="9" t="s">
        <v>463</v>
      </c>
      <c r="K4" s="9" t="s">
        <v>542</v>
      </c>
      <c r="L4" s="9" t="s">
        <v>511</v>
      </c>
      <c r="M4" s="9" t="s">
        <v>543</v>
      </c>
      <c r="N4" s="9" t="s">
        <v>36</v>
      </c>
      <c r="O4" s="9" t="s">
        <v>544</v>
      </c>
      <c r="P4" s="9" t="s">
        <v>545</v>
      </c>
      <c r="Q4" s="9" t="s">
        <v>37</v>
      </c>
      <c r="R4" s="68" t="s">
        <v>269</v>
      </c>
      <c r="S4" s="68" t="s">
        <v>322</v>
      </c>
    </row>
    <row r="5" spans="1:21" s="19" customFormat="1" ht="14.25" customHeight="1" x14ac:dyDescent="0.3">
      <c r="A5" s="16" t="s">
        <v>270</v>
      </c>
      <c r="B5" s="16" t="s">
        <v>270</v>
      </c>
      <c r="C5" s="18" t="s">
        <v>272</v>
      </c>
      <c r="D5" s="18" t="s">
        <v>498</v>
      </c>
      <c r="G5" s="18" t="s">
        <v>272</v>
      </c>
      <c r="I5" s="18" t="s">
        <v>272</v>
      </c>
      <c r="J5" s="17" t="s">
        <v>271</v>
      </c>
      <c r="K5" s="17" t="s">
        <v>271</v>
      </c>
      <c r="L5" s="16" t="s">
        <v>270</v>
      </c>
      <c r="M5" s="17" t="s">
        <v>271</v>
      </c>
      <c r="N5" s="18" t="s">
        <v>272</v>
      </c>
      <c r="O5" s="17" t="s">
        <v>546</v>
      </c>
      <c r="P5" s="18" t="s">
        <v>272</v>
      </c>
      <c r="Q5" s="17" t="s">
        <v>271</v>
      </c>
      <c r="R5" s="66" t="s">
        <v>270</v>
      </c>
      <c r="S5" s="69" t="s">
        <v>323</v>
      </c>
    </row>
    <row r="6" spans="1:21" ht="42.75" customHeight="1" x14ac:dyDescent="0.3">
      <c r="C6" s="21" t="s">
        <v>468</v>
      </c>
      <c r="E6" s="41" t="s">
        <v>547</v>
      </c>
      <c r="F6" s="42" t="s">
        <v>548</v>
      </c>
      <c r="G6" s="21" t="s">
        <v>468</v>
      </c>
      <c r="I6" s="21" t="s">
        <v>468</v>
      </c>
      <c r="N6" s="21" t="s">
        <v>468</v>
      </c>
      <c r="P6" s="21" t="s">
        <v>468</v>
      </c>
    </row>
    <row r="7" spans="1:21" ht="14.25" customHeight="1" x14ac:dyDescent="0.3">
      <c r="A7" s="10" t="s">
        <v>549</v>
      </c>
      <c r="B7" s="23">
        <v>46239</v>
      </c>
      <c r="C7" s="10" t="s">
        <v>73</v>
      </c>
      <c r="D7" s="10" t="s">
        <v>111</v>
      </c>
      <c r="E7" s="10"/>
      <c r="F7" s="25">
        <v>0.02</v>
      </c>
      <c r="G7" s="10" t="s">
        <v>326</v>
      </c>
      <c r="H7" s="10" t="s">
        <v>550</v>
      </c>
      <c r="I7" s="10" t="s">
        <v>72</v>
      </c>
      <c r="J7" s="13">
        <v>4500</v>
      </c>
      <c r="K7" s="13">
        <v>178</v>
      </c>
      <c r="L7" s="40">
        <f t="shared" ref="L7:L13" si="0">J7*K7</f>
        <v>801000</v>
      </c>
      <c r="M7" s="10" t="s">
        <v>551</v>
      </c>
      <c r="N7" s="10" t="s">
        <v>180</v>
      </c>
      <c r="O7" s="10" t="s">
        <v>77</v>
      </c>
      <c r="P7" s="10" t="s">
        <v>76</v>
      </c>
      <c r="Q7" s="10" t="s">
        <v>79</v>
      </c>
      <c r="R7" s="10" t="s">
        <v>162</v>
      </c>
      <c r="S7" s="10" t="s">
        <v>552</v>
      </c>
    </row>
    <row r="8" spans="1:21" ht="14.25" customHeight="1" x14ac:dyDescent="0.3">
      <c r="A8" s="10" t="s">
        <v>553</v>
      </c>
      <c r="B8" s="23">
        <v>46242</v>
      </c>
      <c r="C8" s="10" t="s">
        <v>73</v>
      </c>
      <c r="D8" s="10" t="s">
        <v>149</v>
      </c>
      <c r="E8" s="10"/>
      <c r="F8" s="25">
        <v>0.02</v>
      </c>
      <c r="G8" s="10" t="s">
        <v>326</v>
      </c>
      <c r="H8" s="10" t="s">
        <v>550</v>
      </c>
      <c r="I8" s="10" t="s">
        <v>72</v>
      </c>
      <c r="J8" s="13">
        <v>6200</v>
      </c>
      <c r="K8" s="13">
        <v>182</v>
      </c>
      <c r="L8" s="40">
        <f t="shared" si="0"/>
        <v>1128400</v>
      </c>
      <c r="M8" s="10" t="s">
        <v>551</v>
      </c>
      <c r="N8" s="10" t="s">
        <v>204</v>
      </c>
      <c r="O8" s="10" t="s">
        <v>77</v>
      </c>
      <c r="P8" s="10" t="s">
        <v>113</v>
      </c>
      <c r="Q8" s="10" t="s">
        <v>116</v>
      </c>
      <c r="R8" s="10" t="s">
        <v>162</v>
      </c>
      <c r="S8" s="10" t="s">
        <v>554</v>
      </c>
    </row>
    <row r="9" spans="1:21" ht="14.25" customHeight="1" x14ac:dyDescent="0.3">
      <c r="A9" s="10" t="s">
        <v>555</v>
      </c>
      <c r="B9" s="23">
        <v>46243</v>
      </c>
      <c r="C9" s="10" t="s">
        <v>110</v>
      </c>
      <c r="D9" s="10"/>
      <c r="E9" s="10" t="s">
        <v>150</v>
      </c>
      <c r="F9" s="25">
        <v>0.01</v>
      </c>
      <c r="G9" s="10" t="s">
        <v>335</v>
      </c>
      <c r="H9" s="10" t="s">
        <v>556</v>
      </c>
      <c r="I9" s="10" t="s">
        <v>147</v>
      </c>
      <c r="J9" s="13">
        <v>9000</v>
      </c>
      <c r="K9" s="13">
        <v>12</v>
      </c>
      <c r="L9" s="40">
        <f t="shared" si="0"/>
        <v>108000</v>
      </c>
      <c r="M9" s="10" t="s">
        <v>557</v>
      </c>
      <c r="N9" s="10"/>
      <c r="O9" s="10"/>
      <c r="P9" s="10" t="s">
        <v>76</v>
      </c>
      <c r="Q9" s="10"/>
      <c r="R9" s="10" t="s">
        <v>162</v>
      </c>
      <c r="S9" s="10" t="s">
        <v>558</v>
      </c>
    </row>
    <row r="10" spans="1:21" ht="14.25" customHeight="1" x14ac:dyDescent="0.3">
      <c r="A10" s="10" t="s">
        <v>559</v>
      </c>
      <c r="B10" s="23">
        <v>46245</v>
      </c>
      <c r="C10" s="10" t="s">
        <v>73</v>
      </c>
      <c r="D10" s="10" t="s">
        <v>111</v>
      </c>
      <c r="E10" s="10"/>
      <c r="F10" s="25">
        <v>0.03</v>
      </c>
      <c r="G10" s="10" t="s">
        <v>326</v>
      </c>
      <c r="H10" s="10" t="s">
        <v>550</v>
      </c>
      <c r="I10" s="10" t="s">
        <v>72</v>
      </c>
      <c r="J10" s="13">
        <v>3400</v>
      </c>
      <c r="K10" s="13">
        <v>165</v>
      </c>
      <c r="L10" s="40">
        <f t="shared" si="0"/>
        <v>561000</v>
      </c>
      <c r="M10" s="10" t="s">
        <v>551</v>
      </c>
      <c r="N10" s="10" t="s">
        <v>153</v>
      </c>
      <c r="O10" s="10" t="s">
        <v>179</v>
      </c>
      <c r="P10" s="10" t="s">
        <v>223</v>
      </c>
      <c r="Q10" s="10" t="s">
        <v>79</v>
      </c>
      <c r="R10" s="10" t="s">
        <v>126</v>
      </c>
      <c r="S10" s="10" t="s">
        <v>560</v>
      </c>
    </row>
    <row r="11" spans="1:21" ht="14.25" customHeight="1" x14ac:dyDescent="0.3">
      <c r="A11" s="10" t="s">
        <v>561</v>
      </c>
      <c r="B11" s="23">
        <v>46247</v>
      </c>
      <c r="C11" s="10" t="s">
        <v>110</v>
      </c>
      <c r="D11" s="10"/>
      <c r="E11" s="10" t="s">
        <v>201</v>
      </c>
      <c r="F11" s="25">
        <v>0.01</v>
      </c>
      <c r="G11" s="10" t="s">
        <v>335</v>
      </c>
      <c r="H11" s="10" t="s">
        <v>556</v>
      </c>
      <c r="I11" s="10" t="s">
        <v>147</v>
      </c>
      <c r="J11" s="13">
        <v>20000</v>
      </c>
      <c r="K11" s="13">
        <v>3</v>
      </c>
      <c r="L11" s="40">
        <f t="shared" si="0"/>
        <v>60000</v>
      </c>
      <c r="M11" s="10" t="s">
        <v>562</v>
      </c>
      <c r="N11" s="10"/>
      <c r="O11" s="10"/>
      <c r="P11" s="10"/>
      <c r="Q11" s="10"/>
      <c r="R11" s="10" t="s">
        <v>126</v>
      </c>
      <c r="S11" s="10" t="s">
        <v>563</v>
      </c>
    </row>
    <row r="12" spans="1:21" ht="14.25" customHeight="1" x14ac:dyDescent="0.3">
      <c r="A12" s="10" t="s">
        <v>564</v>
      </c>
      <c r="B12" s="23">
        <v>46249</v>
      </c>
      <c r="C12" s="10" t="s">
        <v>73</v>
      </c>
      <c r="D12" s="10" t="s">
        <v>149</v>
      </c>
      <c r="E12" s="10"/>
      <c r="F12" s="25">
        <v>0.02</v>
      </c>
      <c r="G12" s="10" t="s">
        <v>326</v>
      </c>
      <c r="H12" s="10" t="s">
        <v>550</v>
      </c>
      <c r="I12" s="10" t="s">
        <v>72</v>
      </c>
      <c r="J12" s="13">
        <v>5600</v>
      </c>
      <c r="K12" s="13">
        <v>188</v>
      </c>
      <c r="L12" s="40">
        <f t="shared" si="0"/>
        <v>1052800</v>
      </c>
      <c r="M12" s="10" t="s">
        <v>551</v>
      </c>
      <c r="N12" s="10" t="s">
        <v>204</v>
      </c>
      <c r="O12" s="10" t="s">
        <v>152</v>
      </c>
      <c r="P12" s="10" t="s">
        <v>151</v>
      </c>
      <c r="Q12" s="10" t="s">
        <v>116</v>
      </c>
      <c r="R12" s="10" t="s">
        <v>91</v>
      </c>
      <c r="S12" s="10" t="s">
        <v>565</v>
      </c>
    </row>
    <row r="13" spans="1:21" ht="14.25" customHeight="1" x14ac:dyDescent="0.3">
      <c r="A13" s="10" t="s">
        <v>566</v>
      </c>
      <c r="B13" s="23">
        <v>46250</v>
      </c>
      <c r="C13" s="10" t="s">
        <v>110</v>
      </c>
      <c r="D13" s="10"/>
      <c r="E13" s="10" t="s">
        <v>112</v>
      </c>
      <c r="F13" s="25">
        <v>0.01</v>
      </c>
      <c r="G13" s="10" t="s">
        <v>335</v>
      </c>
      <c r="H13" s="10" t="s">
        <v>556</v>
      </c>
      <c r="I13" s="10" t="s">
        <v>147</v>
      </c>
      <c r="J13" s="13">
        <v>12000</v>
      </c>
      <c r="K13" s="13">
        <v>4</v>
      </c>
      <c r="L13" s="40">
        <f t="shared" si="0"/>
        <v>48000</v>
      </c>
      <c r="M13" s="10" t="s">
        <v>567</v>
      </c>
      <c r="N13" s="10"/>
      <c r="O13" s="10"/>
      <c r="P13" s="10" t="s">
        <v>223</v>
      </c>
      <c r="Q13" s="10"/>
      <c r="R13" s="10" t="s">
        <v>91</v>
      </c>
      <c r="S13" s="10" t="s">
        <v>568</v>
      </c>
    </row>
  </sheetData>
  <mergeCells count="2">
    <mergeCell ref="G1:L1"/>
    <mergeCell ref="G2:L2"/>
  </mergeCells>
  <dataValidations count="10">
    <dataValidation type="list" allowBlank="1" errorTitle="Not in master" error="Value must be chosen from the master list." promptTitle="Master-driven list" prompt="Select from L_ItemCategory" sqref="C7:C500" xr:uid="{00000000-0002-0000-0A00-000000000000}">
      <formula1>L_ItemCategory</formula1>
      <formula2>0</formula2>
    </dataValidation>
    <dataValidation type="list" allowBlank="1" errorTitle="Not in master" error="Value must be chosen from the master list." promptTitle="Master-driven list" prompt="Select from L_FabricSubCat" sqref="D7:D500" xr:uid="{00000000-0002-0000-0A00-000001000000}">
      <formula1>L_FabricSubCat</formula1>
      <formula2>0</formula2>
    </dataValidation>
    <dataValidation type="list" allowBlank="1" errorTitle="Not in master" error="Value must be chosen from the master list." promptTitle="Master-driven list" prompt="Select from L_AccessoriesItem" sqref="E7:E500" xr:uid="{00000000-0002-0000-0A00-000002000000}">
      <formula1>L_AccessoriesItem</formula1>
      <formula2>0</formula2>
    </dataValidation>
    <dataValidation type="list" allowBlank="1" errorTitle="Not in master" error="Value must be chosen from the master list." promptTitle="Master-driven list" prompt="Select from M_VendorName" sqref="G7:G500" xr:uid="{00000000-0002-0000-0A00-000003000000}">
      <formula1>M_VendorName</formula1>
      <formula2>0</formula2>
    </dataValidation>
    <dataValidation type="list" allowBlank="1" errorTitle="Not in master" error="Value must be chosen from the master list." promptTitle="Master-driven list" prompt="Select from L_UOM" sqref="I7:I500" xr:uid="{00000000-0002-0000-0A00-000004000000}">
      <formula1>L_UOM</formula1>
      <formula2>0</formula2>
    </dataValidation>
    <dataValidation type="list" allowBlank="1" errorTitle="Not in master" error="Value must be chosen from the master list." promptTitle="Master-driven list" prompt="Select from L_GSM" sqref="N7:N500" xr:uid="{00000000-0002-0000-0A00-000005000000}">
      <formula1>L_GSM</formula1>
      <formula2>0</formula2>
    </dataValidation>
    <dataValidation type="list" allowBlank="1" errorTitle="Not in master" error="Value must be chosen from the master list." promptTitle="Master-driven list" prompt="Select from L_FabricContent" sqref="O7:O500" xr:uid="{00000000-0002-0000-0A00-000006000000}">
      <formula1>L_FabricContent</formula1>
      <formula2>0</formula2>
    </dataValidation>
    <dataValidation type="list" allowBlank="1" errorTitle="Not in master" error="Value must be chosen from the master list." promptTitle="Master-driven list" prompt="Select from L_ColorCode" sqref="P7:P500" xr:uid="{00000000-0002-0000-0A00-000007000000}">
      <formula1>L_ColorCode</formula1>
      <formula2>0</formula2>
    </dataValidation>
    <dataValidation type="list" allowBlank="1" errorTitle="Not in master" error="Value must be chosen from the master list." promptTitle="Master-driven list" prompt="Select from L_Count" sqref="Q7:Q500" xr:uid="{00000000-0002-0000-0A00-000008000000}">
      <formula1>L_Count</formula1>
      <formula2>0</formula2>
    </dataValidation>
    <dataValidation type="list" allowBlank="1" errorTitle="Not in master" error="Value must be chosen from the master list." promptTitle="Master-driven list" prompt="Select from L_StatusGeneral" sqref="R7:R500" xr:uid="{00000000-0002-0000-0A00-000009000000}">
      <formula1>L_StatusGeneral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P13"/>
  <sheetViews>
    <sheetView showGridLines="0" topLeftCell="F1" zoomScaleNormal="100" workbookViewId="0">
      <pane ySplit="6" topLeftCell="A7" activePane="bottomLeft" state="frozen"/>
      <selection pane="bottomLeft" activeCell="M5" sqref="M5"/>
    </sheetView>
  </sheetViews>
  <sheetFormatPr defaultColWidth="8.5546875" defaultRowHeight="14.4" x14ac:dyDescent="0.3"/>
  <cols>
    <col min="1" max="3" width="30" customWidth="1"/>
    <col min="4" max="4" width="24" customWidth="1"/>
    <col min="5" max="5" width="16" customWidth="1"/>
    <col min="6" max="6" width="24" customWidth="1"/>
    <col min="7" max="11" width="14" customWidth="1"/>
    <col min="12" max="12" width="15" customWidth="1"/>
    <col min="13" max="14" width="17" customWidth="1"/>
  </cols>
  <sheetData>
    <row r="1" spans="1:16" ht="21" customHeight="1" x14ac:dyDescent="0.3">
      <c r="A1" s="8" t="s">
        <v>569</v>
      </c>
      <c r="C1" s="77" t="s">
        <v>25</v>
      </c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</row>
    <row r="2" spans="1:16" ht="21" customHeight="1" x14ac:dyDescent="0.3">
      <c r="A2" s="2"/>
      <c r="C2" s="78" t="s">
        <v>570</v>
      </c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</row>
    <row r="3" spans="1:16" ht="12" customHeight="1" x14ac:dyDescent="0.3"/>
    <row r="4" spans="1:16" ht="30" customHeight="1" x14ac:dyDescent="0.3">
      <c r="A4" s="9" t="s">
        <v>571</v>
      </c>
      <c r="B4" s="9" t="s">
        <v>493</v>
      </c>
      <c r="C4" s="9" t="s">
        <v>572</v>
      </c>
      <c r="D4" s="9" t="s">
        <v>573</v>
      </c>
      <c r="E4" s="9" t="s">
        <v>508</v>
      </c>
      <c r="F4" s="9" t="s">
        <v>574</v>
      </c>
      <c r="G4" s="9" t="s">
        <v>510</v>
      </c>
      <c r="H4" s="9" t="s">
        <v>575</v>
      </c>
      <c r="I4" s="9" t="s">
        <v>576</v>
      </c>
      <c r="J4" s="9" t="s">
        <v>30</v>
      </c>
      <c r="K4" s="9" t="s">
        <v>45</v>
      </c>
      <c r="L4" s="9" t="s">
        <v>512</v>
      </c>
      <c r="M4" s="9" t="s">
        <v>269</v>
      </c>
      <c r="N4" s="9" t="s">
        <v>322</v>
      </c>
    </row>
    <row r="5" spans="1:16" ht="14.25" customHeight="1" x14ac:dyDescent="0.3">
      <c r="A5" s="35" t="s">
        <v>270</v>
      </c>
      <c r="B5" s="35" t="s">
        <v>270</v>
      </c>
      <c r="C5" s="36" t="s">
        <v>272</v>
      </c>
      <c r="D5" s="36" t="s">
        <v>272</v>
      </c>
      <c r="E5" s="35" t="s">
        <v>270</v>
      </c>
      <c r="F5" s="36" t="s">
        <v>272</v>
      </c>
      <c r="G5" s="35" t="s">
        <v>270</v>
      </c>
      <c r="H5" s="37" t="s">
        <v>271</v>
      </c>
      <c r="I5" s="35" t="s">
        <v>270</v>
      </c>
      <c r="J5" s="35" t="s">
        <v>270</v>
      </c>
      <c r="K5" s="36" t="s">
        <v>272</v>
      </c>
      <c r="L5" s="70" t="s">
        <v>577</v>
      </c>
      <c r="M5" s="71" t="s">
        <v>270</v>
      </c>
      <c r="N5" s="37" t="s">
        <v>323</v>
      </c>
    </row>
    <row r="6" spans="1:16" ht="42.75" customHeight="1" x14ac:dyDescent="0.3">
      <c r="C6" s="38" t="s">
        <v>578</v>
      </c>
      <c r="F6" s="38" t="s">
        <v>516</v>
      </c>
      <c r="K6" s="38" t="s">
        <v>579</v>
      </c>
      <c r="L6" s="8" t="s">
        <v>580</v>
      </c>
      <c r="M6" s="38" t="s">
        <v>581</v>
      </c>
    </row>
    <row r="7" spans="1:16" ht="14.25" customHeight="1" x14ac:dyDescent="0.3">
      <c r="A7" s="10" t="s">
        <v>582</v>
      </c>
      <c r="B7" s="23">
        <v>46243</v>
      </c>
      <c r="C7" s="10" t="s">
        <v>97</v>
      </c>
      <c r="D7" s="10" t="s">
        <v>549</v>
      </c>
      <c r="E7" s="10" t="s">
        <v>73</v>
      </c>
      <c r="F7" s="10" t="s">
        <v>326</v>
      </c>
      <c r="G7" s="13">
        <v>4500</v>
      </c>
      <c r="H7" s="13">
        <v>4500</v>
      </c>
      <c r="I7" s="43">
        <f t="shared" ref="I7:I13" si="0">IFERROR((G7-H7)/G7,0)</f>
        <v>0</v>
      </c>
      <c r="J7" s="10" t="s">
        <v>72</v>
      </c>
      <c r="K7" s="10" t="s">
        <v>239</v>
      </c>
      <c r="L7" s="10" t="s">
        <v>449</v>
      </c>
      <c r="M7" s="10" t="s">
        <v>141</v>
      </c>
      <c r="N7" s="10" t="s">
        <v>583</v>
      </c>
    </row>
    <row r="8" spans="1:16" ht="14.25" customHeight="1" x14ac:dyDescent="0.3">
      <c r="A8" s="10" t="s">
        <v>584</v>
      </c>
      <c r="B8" s="23">
        <v>46244</v>
      </c>
      <c r="C8" s="10" t="s">
        <v>132</v>
      </c>
      <c r="D8" s="10" t="s">
        <v>585</v>
      </c>
      <c r="E8" s="10" t="s">
        <v>73</v>
      </c>
      <c r="F8" s="10" t="s">
        <v>344</v>
      </c>
      <c r="G8" s="13">
        <v>2000</v>
      </c>
      <c r="H8" s="13">
        <v>2000</v>
      </c>
      <c r="I8" s="43">
        <f t="shared" si="0"/>
        <v>0</v>
      </c>
      <c r="J8" s="10" t="s">
        <v>72</v>
      </c>
      <c r="K8" s="10" t="s">
        <v>86</v>
      </c>
      <c r="L8" s="10" t="s">
        <v>96</v>
      </c>
      <c r="M8" s="10" t="s">
        <v>141</v>
      </c>
      <c r="N8" s="10" t="s">
        <v>586</v>
      </c>
    </row>
    <row r="9" spans="1:16" ht="14.25" customHeight="1" x14ac:dyDescent="0.3">
      <c r="A9" s="10" t="s">
        <v>587</v>
      </c>
      <c r="B9" s="23">
        <v>46248</v>
      </c>
      <c r="C9" s="10" t="s">
        <v>97</v>
      </c>
      <c r="D9" s="10" t="s">
        <v>585</v>
      </c>
      <c r="E9" s="10" t="s">
        <v>588</v>
      </c>
      <c r="F9" s="10" t="s">
        <v>344</v>
      </c>
      <c r="G9" s="13">
        <v>2000</v>
      </c>
      <c r="H9" s="13">
        <v>1950</v>
      </c>
      <c r="I9" s="43">
        <f t="shared" si="0"/>
        <v>2.5000000000000001E-2</v>
      </c>
      <c r="J9" s="10" t="s">
        <v>72</v>
      </c>
      <c r="K9" s="10" t="s">
        <v>86</v>
      </c>
      <c r="L9" s="10" t="s">
        <v>449</v>
      </c>
      <c r="M9" s="10" t="s">
        <v>141</v>
      </c>
      <c r="N9" s="10" t="s">
        <v>589</v>
      </c>
    </row>
    <row r="10" spans="1:16" ht="14.25" customHeight="1" x14ac:dyDescent="0.3">
      <c r="A10" s="10" t="s">
        <v>590</v>
      </c>
      <c r="B10" s="23">
        <v>46249</v>
      </c>
      <c r="C10" s="10" t="s">
        <v>132</v>
      </c>
      <c r="D10" s="10" t="s">
        <v>591</v>
      </c>
      <c r="E10" s="10" t="s">
        <v>592</v>
      </c>
      <c r="F10" s="10" t="s">
        <v>353</v>
      </c>
      <c r="G10" s="13">
        <v>3000</v>
      </c>
      <c r="H10" s="13">
        <v>3000</v>
      </c>
      <c r="I10" s="43">
        <f t="shared" si="0"/>
        <v>0</v>
      </c>
      <c r="J10" s="10" t="s">
        <v>147</v>
      </c>
      <c r="K10" s="10" t="s">
        <v>123</v>
      </c>
      <c r="L10" s="10" t="s">
        <v>96</v>
      </c>
      <c r="M10" s="10" t="s">
        <v>141</v>
      </c>
      <c r="N10" s="10" t="s">
        <v>421</v>
      </c>
    </row>
    <row r="11" spans="1:16" ht="14.25" customHeight="1" x14ac:dyDescent="0.3">
      <c r="A11" s="10" t="s">
        <v>593</v>
      </c>
      <c r="B11" s="23">
        <v>46251</v>
      </c>
      <c r="C11" s="10" t="s">
        <v>132</v>
      </c>
      <c r="D11" s="10" t="s">
        <v>594</v>
      </c>
      <c r="E11" s="10" t="s">
        <v>595</v>
      </c>
      <c r="F11" s="10" t="s">
        <v>371</v>
      </c>
      <c r="G11" s="13">
        <v>2500</v>
      </c>
      <c r="H11" s="13">
        <v>2500</v>
      </c>
      <c r="I11" s="43">
        <f t="shared" si="0"/>
        <v>0</v>
      </c>
      <c r="J11" s="10" t="s">
        <v>147</v>
      </c>
      <c r="K11" s="10" t="s">
        <v>143</v>
      </c>
      <c r="L11" s="10" t="s">
        <v>449</v>
      </c>
      <c r="M11" s="10" t="s">
        <v>141</v>
      </c>
      <c r="N11" s="10" t="s">
        <v>596</v>
      </c>
    </row>
    <row r="12" spans="1:16" ht="14.25" customHeight="1" x14ac:dyDescent="0.3">
      <c r="A12" s="10" t="s">
        <v>597</v>
      </c>
      <c r="B12" s="23">
        <v>46253</v>
      </c>
      <c r="C12" s="10" t="s">
        <v>97</v>
      </c>
      <c r="D12" s="10" t="s">
        <v>594</v>
      </c>
      <c r="E12" s="10" t="s">
        <v>598</v>
      </c>
      <c r="F12" s="10" t="s">
        <v>371</v>
      </c>
      <c r="G12" s="13">
        <v>2500</v>
      </c>
      <c r="H12" s="13">
        <v>2460</v>
      </c>
      <c r="I12" s="43">
        <f t="shared" si="0"/>
        <v>1.6E-2</v>
      </c>
      <c r="J12" s="10" t="s">
        <v>147</v>
      </c>
      <c r="K12" s="10" t="s">
        <v>143</v>
      </c>
      <c r="L12" s="10" t="s">
        <v>449</v>
      </c>
      <c r="M12" s="10" t="s">
        <v>141</v>
      </c>
      <c r="N12" s="10" t="s">
        <v>599</v>
      </c>
    </row>
    <row r="13" spans="1:16" ht="14.25" customHeight="1" x14ac:dyDescent="0.3">
      <c r="A13" s="10" t="s">
        <v>600</v>
      </c>
      <c r="B13" s="23">
        <v>46255</v>
      </c>
      <c r="C13" s="10" t="s">
        <v>97</v>
      </c>
      <c r="D13" s="10" t="s">
        <v>566</v>
      </c>
      <c r="E13" s="10" t="s">
        <v>112</v>
      </c>
      <c r="F13" s="10" t="s">
        <v>335</v>
      </c>
      <c r="G13" s="13">
        <v>12000</v>
      </c>
      <c r="H13" s="13">
        <v>12000</v>
      </c>
      <c r="I13" s="43">
        <f t="shared" si="0"/>
        <v>0</v>
      </c>
      <c r="J13" s="10" t="s">
        <v>147</v>
      </c>
      <c r="K13" s="10" t="s">
        <v>239</v>
      </c>
      <c r="L13" s="10" t="s">
        <v>449</v>
      </c>
      <c r="M13" s="10" t="s">
        <v>91</v>
      </c>
      <c r="N13" s="10" t="s">
        <v>601</v>
      </c>
    </row>
  </sheetData>
  <mergeCells count="2">
    <mergeCell ref="C1:P1"/>
    <mergeCell ref="C2:P2"/>
  </mergeCells>
  <dataValidations count="6">
    <dataValidation type="list" allowBlank="1" errorTitle="Not in master" error="Value must be chosen from the master list." promptTitle="Master-driven list" prompt="Select from L_GatePassType" sqref="C7:C500" xr:uid="{00000000-0002-0000-0B00-000000000000}">
      <formula1>L_GatePassType</formula1>
      <formula2>0</formula2>
    </dataValidation>
    <dataValidation type="list" allowBlank="1" errorTitle="Not in master" error="Value must be chosen from the master list." promptTitle="Master-driven list" prompt="Select from M_VendorName" sqref="F7:F500" xr:uid="{00000000-0002-0000-0B00-000001000000}">
      <formula1>M_VendorName</formula1>
      <formula2>0</formula2>
    </dataValidation>
    <dataValidation type="list" allowBlank="1" errorTitle="Not in master" error="Value must be chosen from the master list." promptTitle="Master-driven list" prompt="Select from L_UOM" sqref="J7:J500" xr:uid="{00000000-0002-0000-0B00-000002000000}">
      <formula1>L_UOM</formula1>
      <formula2>0</formula2>
    </dataValidation>
    <dataValidation type="list" allowBlank="1" errorTitle="Not in master" error="Value must be chosen from the master list." promptTitle="Master-driven list" prompt="Select from L_Purpose" sqref="K7:K500" xr:uid="{00000000-0002-0000-0B00-000003000000}">
      <formula1>L_Purpose</formula1>
      <formula2>0</formula2>
    </dataValidation>
    <dataValidation type="list" allowBlank="1" errorTitle="Not in master" error="Value must be chosen from the master list." promptTitle="Master-driven list" prompt="Select from M_EmpName" sqref="L7:L500" xr:uid="{00000000-0002-0000-0B00-000004000000}">
      <formula1>M_EmpName</formula1>
      <formula2>0</formula2>
    </dataValidation>
    <dataValidation type="list" allowBlank="1" errorTitle="Not in master" error="Value must be chosen from the master list." promptTitle="Master-driven list" prompt="Select from L_StatusGatePass" sqref="M7:M500" xr:uid="{00000000-0002-0000-0B00-000005000000}">
      <formula1>L_StatusGatePass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A1:P13"/>
  <sheetViews>
    <sheetView topLeftCell="H1" zoomScaleNormal="100" workbookViewId="0">
      <pane ySplit="6" topLeftCell="A7" activePane="bottomLeft" state="frozen"/>
      <selection pane="bottomLeft" activeCell="M5" sqref="M5"/>
    </sheetView>
  </sheetViews>
  <sheetFormatPr defaultColWidth="8.5546875" defaultRowHeight="14.4" x14ac:dyDescent="0.3"/>
  <cols>
    <col min="1" max="2" width="13" customWidth="1"/>
    <col min="3" max="3" width="21" customWidth="1"/>
    <col min="4" max="4" width="14" customWidth="1"/>
    <col min="5" max="5" width="13" customWidth="1"/>
    <col min="6" max="6" width="10.21875" customWidth="1"/>
    <col min="7" max="7" width="19" customWidth="1"/>
    <col min="8" max="8" width="16" customWidth="1"/>
    <col min="9" max="9" width="11.77734375" customWidth="1"/>
    <col min="10" max="10" width="15" customWidth="1"/>
    <col min="11" max="11" width="30" customWidth="1"/>
    <col min="12" max="13" width="13" customWidth="1"/>
    <col min="14" max="14" width="32" customWidth="1"/>
  </cols>
  <sheetData>
    <row r="1" spans="1:16" ht="21" customHeight="1" x14ac:dyDescent="0.3">
      <c r="A1" s="21" t="s">
        <v>569</v>
      </c>
      <c r="H1" s="77" t="s">
        <v>25</v>
      </c>
      <c r="I1" s="77"/>
      <c r="J1" s="77"/>
      <c r="P1" s="27"/>
    </row>
    <row r="2" spans="1:16" ht="21" customHeight="1" x14ac:dyDescent="0.3">
      <c r="H2" s="78" t="s">
        <v>602</v>
      </c>
      <c r="I2" s="78"/>
      <c r="J2" s="78"/>
    </row>
    <row r="3" spans="1:16" ht="18" customHeight="1" x14ac:dyDescent="0.35">
      <c r="G3" s="14"/>
      <c r="H3" s="14"/>
      <c r="I3" s="14"/>
    </row>
    <row r="4" spans="1:16" ht="15" customHeight="1" x14ac:dyDescent="0.3">
      <c r="A4" s="9" t="s">
        <v>537</v>
      </c>
      <c r="B4" s="9" t="s">
        <v>603</v>
      </c>
      <c r="C4" s="9" t="s">
        <v>493</v>
      </c>
      <c r="D4" s="9" t="s">
        <v>604</v>
      </c>
      <c r="E4" s="9" t="s">
        <v>508</v>
      </c>
      <c r="F4" s="9" t="s">
        <v>543</v>
      </c>
      <c r="G4" s="9" t="s">
        <v>605</v>
      </c>
      <c r="H4" s="9" t="s">
        <v>30</v>
      </c>
      <c r="I4" s="9" t="s">
        <v>463</v>
      </c>
      <c r="J4" s="9" t="s">
        <v>606</v>
      </c>
      <c r="K4" s="9" t="s">
        <v>607</v>
      </c>
      <c r="L4" s="9" t="s">
        <v>511</v>
      </c>
      <c r="M4" s="9" t="s">
        <v>269</v>
      </c>
      <c r="N4" s="9" t="s">
        <v>322</v>
      </c>
    </row>
    <row r="5" spans="1:16" s="19" customFormat="1" ht="14.25" customHeight="1" x14ac:dyDescent="0.3">
      <c r="A5" s="18" t="s">
        <v>498</v>
      </c>
      <c r="B5" s="44" t="s">
        <v>608</v>
      </c>
      <c r="C5" s="16" t="s">
        <v>270</v>
      </c>
      <c r="D5" s="18" t="s">
        <v>498</v>
      </c>
      <c r="E5" s="16" t="s">
        <v>270</v>
      </c>
      <c r="F5" s="16" t="s">
        <v>270</v>
      </c>
      <c r="G5" s="16" t="s">
        <v>270</v>
      </c>
      <c r="H5" s="16" t="s">
        <v>270</v>
      </c>
      <c r="I5" s="16" t="s">
        <v>270</v>
      </c>
      <c r="J5" s="17" t="s">
        <v>271</v>
      </c>
      <c r="K5" s="42" t="s">
        <v>609</v>
      </c>
      <c r="L5" s="16" t="s">
        <v>270</v>
      </c>
      <c r="M5" s="66" t="s">
        <v>270</v>
      </c>
      <c r="N5" s="17" t="s">
        <v>546</v>
      </c>
    </row>
    <row r="6" spans="1:16" ht="14.25" customHeight="1" x14ac:dyDescent="0.3">
      <c r="B6" s="21" t="s">
        <v>610</v>
      </c>
      <c r="L6" s="21" t="s">
        <v>611</v>
      </c>
    </row>
    <row r="7" spans="1:16" ht="14.25" customHeight="1" x14ac:dyDescent="0.3">
      <c r="A7" s="10" t="s">
        <v>549</v>
      </c>
      <c r="B7" s="10" t="s">
        <v>612</v>
      </c>
      <c r="C7" s="23">
        <v>46243</v>
      </c>
      <c r="D7" s="10" t="s">
        <v>88</v>
      </c>
      <c r="E7" s="10" t="s">
        <v>73</v>
      </c>
      <c r="F7" s="10" t="s">
        <v>551</v>
      </c>
      <c r="G7" s="10" t="s">
        <v>326</v>
      </c>
      <c r="H7" s="10" t="s">
        <v>72</v>
      </c>
      <c r="I7" s="13">
        <v>4500</v>
      </c>
      <c r="J7" s="13">
        <v>4500</v>
      </c>
      <c r="K7" s="13">
        <v>178</v>
      </c>
      <c r="L7" s="40">
        <f t="shared" ref="L7:L13" si="0">J7*K7</f>
        <v>801000</v>
      </c>
      <c r="M7" s="10" t="s">
        <v>162</v>
      </c>
      <c r="N7" s="10" t="s">
        <v>613</v>
      </c>
    </row>
    <row r="8" spans="1:16" ht="14.25" customHeight="1" x14ac:dyDescent="0.3">
      <c r="A8" s="10" t="s">
        <v>553</v>
      </c>
      <c r="B8" s="10" t="s">
        <v>614</v>
      </c>
      <c r="C8" s="23">
        <v>46246</v>
      </c>
      <c r="D8" s="10" t="s">
        <v>88</v>
      </c>
      <c r="E8" s="10" t="s">
        <v>73</v>
      </c>
      <c r="F8" s="10" t="s">
        <v>551</v>
      </c>
      <c r="G8" s="10" t="s">
        <v>326</v>
      </c>
      <c r="H8" s="10" t="s">
        <v>72</v>
      </c>
      <c r="I8" s="13">
        <v>6200</v>
      </c>
      <c r="J8" s="13">
        <v>6180</v>
      </c>
      <c r="K8" s="13">
        <v>182</v>
      </c>
      <c r="L8" s="40">
        <f t="shared" si="0"/>
        <v>1124760</v>
      </c>
      <c r="M8" s="10" t="s">
        <v>162</v>
      </c>
      <c r="N8" s="10" t="s">
        <v>615</v>
      </c>
    </row>
    <row r="9" spans="1:16" ht="14.25" customHeight="1" x14ac:dyDescent="0.3">
      <c r="A9" s="10" t="s">
        <v>555</v>
      </c>
      <c r="B9" s="10" t="s">
        <v>616</v>
      </c>
      <c r="C9" s="23">
        <v>46247</v>
      </c>
      <c r="D9" s="10" t="s">
        <v>110</v>
      </c>
      <c r="E9" s="10" t="s">
        <v>110</v>
      </c>
      <c r="F9" s="10" t="s">
        <v>557</v>
      </c>
      <c r="G9" s="10" t="s">
        <v>335</v>
      </c>
      <c r="H9" s="10" t="s">
        <v>147</v>
      </c>
      <c r="I9" s="13">
        <v>9000</v>
      </c>
      <c r="J9" s="13">
        <v>9090</v>
      </c>
      <c r="K9" s="13">
        <v>12</v>
      </c>
      <c r="L9" s="40">
        <f t="shared" si="0"/>
        <v>109080</v>
      </c>
      <c r="M9" s="10" t="s">
        <v>162</v>
      </c>
      <c r="N9" s="10" t="s">
        <v>617</v>
      </c>
    </row>
    <row r="10" spans="1:16" ht="14.25" customHeight="1" x14ac:dyDescent="0.3">
      <c r="A10" s="10" t="s">
        <v>559</v>
      </c>
      <c r="B10" s="10" t="s">
        <v>618</v>
      </c>
      <c r="C10" s="23">
        <v>46250</v>
      </c>
      <c r="D10" s="10" t="s">
        <v>88</v>
      </c>
      <c r="E10" s="10" t="s">
        <v>73</v>
      </c>
      <c r="F10" s="10" t="s">
        <v>551</v>
      </c>
      <c r="G10" s="10" t="s">
        <v>326</v>
      </c>
      <c r="H10" s="10" t="s">
        <v>72</v>
      </c>
      <c r="I10" s="13">
        <v>3400</v>
      </c>
      <c r="J10" s="13">
        <v>3400</v>
      </c>
      <c r="K10" s="13">
        <v>165</v>
      </c>
      <c r="L10" s="40">
        <f t="shared" si="0"/>
        <v>561000</v>
      </c>
      <c r="M10" s="10" t="s">
        <v>162</v>
      </c>
      <c r="N10" s="10"/>
    </row>
    <row r="11" spans="1:16" ht="14.25" customHeight="1" x14ac:dyDescent="0.3">
      <c r="A11" s="10" t="s">
        <v>561</v>
      </c>
      <c r="B11" s="10" t="s">
        <v>619</v>
      </c>
      <c r="C11" s="23">
        <v>46252</v>
      </c>
      <c r="D11" s="10" t="s">
        <v>110</v>
      </c>
      <c r="E11" s="10" t="s">
        <v>110</v>
      </c>
      <c r="F11" s="10" t="s">
        <v>562</v>
      </c>
      <c r="G11" s="10" t="s">
        <v>335</v>
      </c>
      <c r="H11" s="10" t="s">
        <v>147</v>
      </c>
      <c r="I11" s="13">
        <v>20000</v>
      </c>
      <c r="J11" s="13">
        <v>20000</v>
      </c>
      <c r="K11" s="13">
        <v>3</v>
      </c>
      <c r="L11" s="40">
        <f t="shared" si="0"/>
        <v>60000</v>
      </c>
      <c r="M11" s="10" t="s">
        <v>162</v>
      </c>
      <c r="N11" s="10" t="s">
        <v>620</v>
      </c>
    </row>
    <row r="12" spans="1:16" ht="14.25" customHeight="1" x14ac:dyDescent="0.3">
      <c r="A12" s="10" t="s">
        <v>564</v>
      </c>
      <c r="B12" s="10" t="s">
        <v>621</v>
      </c>
      <c r="C12" s="23">
        <v>46254</v>
      </c>
      <c r="D12" s="10" t="s">
        <v>88</v>
      </c>
      <c r="E12" s="10" t="s">
        <v>73</v>
      </c>
      <c r="F12" s="10" t="s">
        <v>551</v>
      </c>
      <c r="G12" s="10" t="s">
        <v>326</v>
      </c>
      <c r="H12" s="10" t="s">
        <v>72</v>
      </c>
      <c r="I12" s="13">
        <v>5600</v>
      </c>
      <c r="J12" s="13">
        <v>2800</v>
      </c>
      <c r="K12" s="13">
        <v>188</v>
      </c>
      <c r="L12" s="40">
        <f t="shared" si="0"/>
        <v>526400</v>
      </c>
      <c r="M12" s="10" t="s">
        <v>126</v>
      </c>
      <c r="N12" s="10" t="s">
        <v>622</v>
      </c>
    </row>
    <row r="13" spans="1:16" ht="14.25" customHeight="1" x14ac:dyDescent="0.3">
      <c r="A13" s="10" t="s">
        <v>566</v>
      </c>
      <c r="B13" s="10" t="s">
        <v>623</v>
      </c>
      <c r="C13" s="23">
        <v>46256</v>
      </c>
      <c r="D13" s="10" t="s">
        <v>110</v>
      </c>
      <c r="E13" s="10" t="s">
        <v>112</v>
      </c>
      <c r="F13" s="10" t="s">
        <v>567</v>
      </c>
      <c r="G13" s="10" t="s">
        <v>335</v>
      </c>
      <c r="H13" s="10" t="s">
        <v>147</v>
      </c>
      <c r="I13" s="13">
        <v>12000</v>
      </c>
      <c r="J13" s="13">
        <v>12000</v>
      </c>
      <c r="K13" s="13">
        <v>4</v>
      </c>
      <c r="L13" s="40">
        <f t="shared" si="0"/>
        <v>48000</v>
      </c>
      <c r="M13" s="10" t="s">
        <v>162</v>
      </c>
      <c r="N13" s="10"/>
    </row>
  </sheetData>
  <mergeCells count="2">
    <mergeCell ref="H1:J1"/>
    <mergeCell ref="H2:J2"/>
  </mergeCells>
  <dataValidations count="6">
    <dataValidation type="list" allowBlank="1" errorTitle="Not in master" error="Value must be chosen from the master list." promptTitle="Master-driven list" prompt="Select from M_POID" sqref="A7:A500" xr:uid="{00000000-0002-0000-0C00-000000000000}">
      <formula1>M_POID</formula1>
      <formula2>0</formula2>
    </dataValidation>
    <dataValidation type="list" allowBlank="1" errorTitle="Not in master" error="Value must be chosen from the master list." promptTitle="Master-driven list" prompt="Select from L_GRNPurpose" sqref="D7:D500" xr:uid="{00000000-0002-0000-0C00-000001000000}">
      <formula1>L_GRNPurpose</formula1>
      <formula2>0</formula2>
    </dataValidation>
    <dataValidation type="list" allowBlank="1" errorTitle="Not in master" error="Value must be chosen from the master list." promptTitle="Master-driven list" prompt="Select from L_ItemCategory" sqref="E7:E500" xr:uid="{00000000-0002-0000-0C00-000002000000}">
      <formula1>L_ItemCategory</formula1>
      <formula2>0</formula2>
    </dataValidation>
    <dataValidation type="list" allowBlank="1" errorTitle="Not in master" error="Value must be chosen from the master list." promptTitle="Master-driven list" prompt="Select from M_VendorName" sqref="G7:G500" xr:uid="{00000000-0002-0000-0C00-000003000000}">
      <formula1>M_VendorName</formula1>
      <formula2>0</formula2>
    </dataValidation>
    <dataValidation type="list" allowBlank="1" errorTitle="Not in master" error="Value must be chosen from the master list." promptTitle="Master-driven list" prompt="Select from L_UOM" sqref="H7:H500" xr:uid="{00000000-0002-0000-0C00-000004000000}">
      <formula1>L_UOM</formula1>
      <formula2>0</formula2>
    </dataValidation>
    <dataValidation type="list" allowBlank="1" errorTitle="Not in master" error="Value must be chosen from the master list." promptTitle="Master-driven list" prompt="Select from L_StatusGeneral" sqref="M7:M500" xr:uid="{00000000-0002-0000-0C00-000005000000}">
      <formula1>L_StatusGeneral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</sheetPr>
  <dimension ref="A1:M16"/>
  <sheetViews>
    <sheetView topLeftCell="E1" zoomScaleNormal="100" workbookViewId="0">
      <pane ySplit="6" topLeftCell="A7" activePane="bottomLeft" state="frozen"/>
      <selection pane="bottomLeft" activeCell="I5" sqref="I5"/>
    </sheetView>
  </sheetViews>
  <sheetFormatPr defaultColWidth="8.5546875" defaultRowHeight="14.4" x14ac:dyDescent="0.3"/>
  <cols>
    <col min="1" max="1" width="21" customWidth="1"/>
    <col min="2" max="2" width="11" customWidth="1"/>
    <col min="3" max="3" width="18.33203125" customWidth="1"/>
    <col min="4" max="4" width="13" customWidth="1"/>
    <col min="5" max="5" width="32" customWidth="1"/>
    <col min="6" max="6" width="15" customWidth="1"/>
    <col min="7" max="8" width="20" customWidth="1"/>
    <col min="9" max="9" width="15.6640625" customWidth="1"/>
    <col min="10" max="10" width="13" customWidth="1"/>
    <col min="11" max="11" width="22" customWidth="1"/>
  </cols>
  <sheetData>
    <row r="1" spans="1:13" ht="21" customHeight="1" x14ac:dyDescent="0.35">
      <c r="A1" s="21" t="s">
        <v>624</v>
      </c>
      <c r="E1" s="77" t="s">
        <v>25</v>
      </c>
      <c r="F1" s="77"/>
      <c r="G1" s="77"/>
      <c r="H1" s="77"/>
      <c r="I1" s="30"/>
      <c r="M1" s="27"/>
    </row>
    <row r="2" spans="1:13" ht="21" customHeight="1" x14ac:dyDescent="0.3">
      <c r="E2" s="78" t="s">
        <v>625</v>
      </c>
      <c r="F2" s="78"/>
      <c r="G2" s="78"/>
      <c r="H2" s="78"/>
      <c r="I2" s="45"/>
    </row>
    <row r="4" spans="1:13" ht="15" customHeight="1" x14ac:dyDescent="0.3">
      <c r="A4" s="9" t="s">
        <v>493</v>
      </c>
      <c r="B4" s="9" t="s">
        <v>626</v>
      </c>
      <c r="C4" s="9" t="s">
        <v>45</v>
      </c>
      <c r="D4" s="9" t="s">
        <v>457</v>
      </c>
      <c r="E4" s="9" t="s">
        <v>389</v>
      </c>
      <c r="F4" s="9" t="s">
        <v>627</v>
      </c>
      <c r="G4" s="9" t="s">
        <v>628</v>
      </c>
      <c r="H4" s="9" t="s">
        <v>629</v>
      </c>
      <c r="I4" s="9" t="s">
        <v>464</v>
      </c>
      <c r="J4" s="9" t="s">
        <v>269</v>
      </c>
      <c r="K4" s="9" t="s">
        <v>322</v>
      </c>
    </row>
    <row r="5" spans="1:13" ht="14.25" customHeight="1" x14ac:dyDescent="0.3">
      <c r="A5" s="46" t="s">
        <v>270</v>
      </c>
      <c r="B5" s="29" t="s">
        <v>630</v>
      </c>
      <c r="C5" s="28" t="s">
        <v>498</v>
      </c>
      <c r="D5" s="73" t="s">
        <v>270</v>
      </c>
      <c r="E5" s="72" t="s">
        <v>270</v>
      </c>
      <c r="F5" s="74" t="s">
        <v>272</v>
      </c>
      <c r="G5" s="76" t="s">
        <v>271</v>
      </c>
      <c r="H5" s="73" t="s">
        <v>272</v>
      </c>
      <c r="I5" s="73" t="s">
        <v>272</v>
      </c>
      <c r="J5" s="75" t="s">
        <v>270</v>
      </c>
      <c r="K5" s="29" t="s">
        <v>546</v>
      </c>
    </row>
    <row r="6" spans="1:13" ht="14.25" customHeight="1" x14ac:dyDescent="0.3">
      <c r="H6" s="21" t="s">
        <v>632</v>
      </c>
    </row>
    <row r="7" spans="1:13" ht="14.25" customHeight="1" x14ac:dyDescent="0.3">
      <c r="A7" s="23">
        <v>46244</v>
      </c>
      <c r="B7" s="10" t="s">
        <v>633</v>
      </c>
      <c r="C7" s="10" t="s">
        <v>86</v>
      </c>
      <c r="D7" s="10" t="s">
        <v>469</v>
      </c>
      <c r="E7" s="10" t="s">
        <v>400</v>
      </c>
      <c r="F7" s="10" t="s">
        <v>432</v>
      </c>
      <c r="G7" s="13">
        <v>2000</v>
      </c>
      <c r="H7" s="10" t="s">
        <v>634</v>
      </c>
      <c r="I7" s="10" t="s">
        <v>76</v>
      </c>
      <c r="J7" s="10" t="s">
        <v>162</v>
      </c>
      <c r="K7" s="10" t="s">
        <v>635</v>
      </c>
    </row>
    <row r="8" spans="1:13" ht="14.25" customHeight="1" x14ac:dyDescent="0.3">
      <c r="A8" s="23">
        <v>46248</v>
      </c>
      <c r="B8" s="10" t="s">
        <v>636</v>
      </c>
      <c r="C8" s="10" t="s">
        <v>87</v>
      </c>
      <c r="D8" s="10" t="s">
        <v>469</v>
      </c>
      <c r="E8" s="10" t="s">
        <v>400</v>
      </c>
      <c r="F8" s="10" t="s">
        <v>432</v>
      </c>
      <c r="G8" s="13">
        <v>1950</v>
      </c>
      <c r="H8" s="10" t="s">
        <v>634</v>
      </c>
      <c r="I8" s="10" t="s">
        <v>76</v>
      </c>
      <c r="J8" s="10" t="s">
        <v>162</v>
      </c>
      <c r="K8" s="10" t="s">
        <v>637</v>
      </c>
    </row>
    <row r="9" spans="1:13" ht="14.25" customHeight="1" x14ac:dyDescent="0.3">
      <c r="A9" s="23">
        <v>46249</v>
      </c>
      <c r="B9" s="10" t="s">
        <v>638</v>
      </c>
      <c r="C9" s="10" t="s">
        <v>123</v>
      </c>
      <c r="D9" s="10" t="s">
        <v>481</v>
      </c>
      <c r="E9" s="10" t="s">
        <v>418</v>
      </c>
      <c r="F9" s="10" t="s">
        <v>432</v>
      </c>
      <c r="G9" s="13">
        <v>1200</v>
      </c>
      <c r="H9" s="10" t="s">
        <v>639</v>
      </c>
      <c r="I9" s="10" t="s">
        <v>151</v>
      </c>
      <c r="J9" s="10" t="s">
        <v>126</v>
      </c>
      <c r="K9" s="10" t="s">
        <v>640</v>
      </c>
    </row>
    <row r="10" spans="1:13" ht="14.25" customHeight="1" x14ac:dyDescent="0.3">
      <c r="A10" s="23">
        <v>46250</v>
      </c>
      <c r="B10" s="10" t="s">
        <v>641</v>
      </c>
      <c r="C10" s="10" t="s">
        <v>87</v>
      </c>
      <c r="D10" s="10" t="s">
        <v>473</v>
      </c>
      <c r="E10" s="10" t="s">
        <v>404</v>
      </c>
      <c r="F10" s="10" t="s">
        <v>432</v>
      </c>
      <c r="G10" s="13">
        <v>3000</v>
      </c>
      <c r="H10" s="10" t="s">
        <v>639</v>
      </c>
      <c r="I10" s="10" t="s">
        <v>113</v>
      </c>
      <c r="J10" s="10" t="s">
        <v>162</v>
      </c>
      <c r="K10" s="10"/>
    </row>
    <row r="11" spans="1:13" ht="14.25" customHeight="1" x14ac:dyDescent="0.3">
      <c r="A11" s="23">
        <v>46252</v>
      </c>
      <c r="B11" s="10" t="s">
        <v>642</v>
      </c>
      <c r="C11" s="10" t="s">
        <v>87</v>
      </c>
      <c r="D11" s="10" t="s">
        <v>474</v>
      </c>
      <c r="E11" s="10" t="s">
        <v>407</v>
      </c>
      <c r="F11" s="10" t="s">
        <v>432</v>
      </c>
      <c r="G11" s="13">
        <v>2200</v>
      </c>
      <c r="H11" s="10" t="s">
        <v>634</v>
      </c>
      <c r="I11" s="10" t="s">
        <v>178</v>
      </c>
      <c r="J11" s="10" t="s">
        <v>162</v>
      </c>
      <c r="K11" s="10" t="s">
        <v>643</v>
      </c>
    </row>
    <row r="12" spans="1:13" ht="14.25" customHeight="1" x14ac:dyDescent="0.3">
      <c r="A12" s="23">
        <v>46253</v>
      </c>
      <c r="B12" s="10" t="s">
        <v>644</v>
      </c>
      <c r="C12" s="10" t="s">
        <v>86</v>
      </c>
      <c r="D12" s="10" t="s">
        <v>478</v>
      </c>
      <c r="E12" s="10" t="s">
        <v>411</v>
      </c>
      <c r="F12" s="10" t="s">
        <v>432</v>
      </c>
      <c r="G12" s="13">
        <v>1500</v>
      </c>
      <c r="H12" s="10" t="s">
        <v>634</v>
      </c>
      <c r="I12" s="10" t="s">
        <v>223</v>
      </c>
      <c r="J12" s="10" t="s">
        <v>126</v>
      </c>
      <c r="K12" s="10"/>
    </row>
    <row r="13" spans="1:13" ht="14.25" customHeight="1" x14ac:dyDescent="0.3">
      <c r="A13" s="23">
        <v>46255</v>
      </c>
      <c r="B13" s="10" t="s">
        <v>645</v>
      </c>
      <c r="C13" s="10" t="s">
        <v>87</v>
      </c>
      <c r="D13" s="10" t="s">
        <v>484</v>
      </c>
      <c r="E13" s="10" t="s">
        <v>422</v>
      </c>
      <c r="F13" s="10" t="s">
        <v>432</v>
      </c>
      <c r="G13" s="13">
        <v>1100</v>
      </c>
      <c r="H13" s="10" t="s">
        <v>646</v>
      </c>
      <c r="I13" s="10" t="s">
        <v>236</v>
      </c>
      <c r="J13" s="10" t="s">
        <v>91</v>
      </c>
      <c r="K13" s="10"/>
    </row>
    <row r="14" spans="1:13" ht="14.25" customHeight="1" x14ac:dyDescent="0.3">
      <c r="A14" s="23">
        <v>46257</v>
      </c>
      <c r="B14" s="10" t="s">
        <v>647</v>
      </c>
      <c r="C14" s="10" t="s">
        <v>86</v>
      </c>
      <c r="D14" s="10" t="s">
        <v>487</v>
      </c>
      <c r="E14" s="10" t="s">
        <v>415</v>
      </c>
      <c r="F14" s="10" t="s">
        <v>432</v>
      </c>
      <c r="G14" s="13">
        <v>1800</v>
      </c>
      <c r="H14" s="10" t="s">
        <v>634</v>
      </c>
      <c r="I14" s="10" t="s">
        <v>202</v>
      </c>
      <c r="J14" s="10" t="s">
        <v>126</v>
      </c>
      <c r="K14" s="11"/>
    </row>
    <row r="15" spans="1:13" ht="14.25" customHeight="1" x14ac:dyDescent="0.3">
      <c r="A15" s="23">
        <v>46259</v>
      </c>
      <c r="B15" s="10" t="s">
        <v>648</v>
      </c>
      <c r="C15" s="10" t="s">
        <v>86</v>
      </c>
      <c r="D15" s="10" t="s">
        <v>481</v>
      </c>
      <c r="E15" s="10" t="s">
        <v>418</v>
      </c>
      <c r="F15" s="10" t="s">
        <v>432</v>
      </c>
      <c r="G15" s="13">
        <v>2500</v>
      </c>
      <c r="H15" s="10" t="s">
        <v>639</v>
      </c>
      <c r="I15" s="10" t="s">
        <v>151</v>
      </c>
      <c r="J15" s="10" t="s">
        <v>126</v>
      </c>
      <c r="K15" s="10" t="s">
        <v>649</v>
      </c>
    </row>
    <row r="16" spans="1:13" ht="14.25" customHeight="1" x14ac:dyDescent="0.3">
      <c r="A16" s="23">
        <v>46261</v>
      </c>
      <c r="B16" s="10" t="s">
        <v>650</v>
      </c>
      <c r="C16" s="10" t="s">
        <v>87</v>
      </c>
      <c r="D16" s="10" t="s">
        <v>484</v>
      </c>
      <c r="E16" s="10" t="s">
        <v>422</v>
      </c>
      <c r="F16" s="10" t="s">
        <v>432</v>
      </c>
      <c r="G16" s="13">
        <v>1600</v>
      </c>
      <c r="H16" s="10" t="s">
        <v>646</v>
      </c>
      <c r="I16" s="10" t="s">
        <v>236</v>
      </c>
      <c r="J16" s="10" t="s">
        <v>91</v>
      </c>
      <c r="K16" s="11"/>
    </row>
  </sheetData>
  <mergeCells count="2">
    <mergeCell ref="E1:H1"/>
    <mergeCell ref="E2:H2"/>
  </mergeCells>
  <dataValidations count="6">
    <dataValidation type="list" allowBlank="1" errorTitle="Not in master" error="Value must be chosen from the master list." promptTitle="Master-driven list" prompt="Select from L_Purpose" sqref="C7:C500" xr:uid="{00000000-0002-0000-0D00-000000000000}">
      <formula1>L_Purpose</formula1>
      <formula2>0</formula2>
    </dataValidation>
    <dataValidation type="list" allowBlank="1" errorTitle="Not in master" error="Value must be chosen from the master list." promptTitle="Master-driven list" prompt="Select from M_OrderNo" sqref="D7:D500" xr:uid="{00000000-0002-0000-0D00-000001000000}">
      <formula1>M_OrderNo</formula1>
      <formula2>0</formula2>
    </dataValidation>
    <dataValidation type="list" allowBlank="1" errorTitle="Not in master" error="Value must be chosen from the master list." promptTitle="Master-driven list" prompt="Select from M_StyleNo" sqref="E7:E500" xr:uid="{00000000-0002-0000-0D00-000002000000}">
      <formula1>M_StyleNo</formula1>
      <formula2>0</formula2>
    </dataValidation>
    <dataValidation type="list" allowBlank="1" errorTitle="Not in master" error="Value must be chosen from the master list." promptTitle="Master-driven list" prompt="Select from M_EmpName" sqref="F7:F500" xr:uid="{00000000-0002-0000-0D00-000003000000}">
      <formula1>M_EmpName</formula1>
      <formula2>0</formula2>
    </dataValidation>
    <dataValidation type="list" allowBlank="1" errorTitle="Not in master" error="Value must be chosen from the master list." promptTitle="Master-driven list" prompt="Select from L_ColorCode" sqref="I7:I500" xr:uid="{00000000-0002-0000-0D00-000004000000}">
      <formula1>L_ColorCode</formula1>
      <formula2>0</formula2>
    </dataValidation>
    <dataValidation type="list" allowBlank="1" errorTitle="Not in master" error="Value must be chosen from the master list." promptTitle="Master-driven list" prompt="Select from L_StatusGeneral" sqref="J7:J500" xr:uid="{00000000-0002-0000-0D00-000005000000}">
      <formula1>L_StatusGeneral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</sheetPr>
  <dimension ref="A1:S14"/>
  <sheetViews>
    <sheetView zoomScaleNormal="100" workbookViewId="0">
      <pane ySplit="7" topLeftCell="A8" activePane="bottomLeft" state="frozen"/>
      <selection pane="bottomLeft" activeCell="M10" sqref="M10"/>
    </sheetView>
  </sheetViews>
  <sheetFormatPr defaultColWidth="8.5546875" defaultRowHeight="14.4" x14ac:dyDescent="0.3"/>
  <cols>
    <col min="1" max="1" width="21" customWidth="1"/>
    <col min="2" max="2" width="10" customWidth="1"/>
    <col min="3" max="4" width="15" customWidth="1"/>
    <col min="5" max="9" width="19" customWidth="1"/>
    <col min="10" max="10" width="16" customWidth="1"/>
    <col min="11" max="12" width="18" customWidth="1"/>
    <col min="13" max="15" width="9" customWidth="1"/>
    <col min="16" max="17" width="10" customWidth="1"/>
  </cols>
  <sheetData>
    <row r="1" spans="1:19" ht="21" customHeight="1" x14ac:dyDescent="0.35">
      <c r="A1" s="21" t="s">
        <v>569</v>
      </c>
      <c r="J1" s="77" t="s">
        <v>25</v>
      </c>
      <c r="K1" s="77"/>
      <c r="L1" s="77"/>
      <c r="M1" s="77"/>
      <c r="N1" s="30"/>
      <c r="S1" s="27"/>
    </row>
    <row r="2" spans="1:19" ht="21" customHeight="1" x14ac:dyDescent="0.3">
      <c r="J2" s="78" t="s">
        <v>651</v>
      </c>
      <c r="K2" s="78"/>
      <c r="L2" s="78"/>
      <c r="M2" s="78"/>
      <c r="N2" s="45"/>
    </row>
    <row r="5" spans="1:19" ht="15" customHeight="1" x14ac:dyDescent="0.3">
      <c r="A5" s="9" t="s">
        <v>493</v>
      </c>
      <c r="B5" s="9" t="s">
        <v>44</v>
      </c>
      <c r="C5" s="9" t="s">
        <v>626</v>
      </c>
      <c r="D5" s="9" t="s">
        <v>652</v>
      </c>
      <c r="E5" s="9" t="s">
        <v>544</v>
      </c>
      <c r="F5" s="9" t="s">
        <v>37</v>
      </c>
      <c r="G5" s="9" t="s">
        <v>38</v>
      </c>
      <c r="H5" s="9" t="s">
        <v>653</v>
      </c>
      <c r="I5" s="9" t="s">
        <v>36</v>
      </c>
      <c r="J5" s="9" t="s">
        <v>318</v>
      </c>
      <c r="K5" s="9" t="s">
        <v>264</v>
      </c>
      <c r="L5" s="9" t="s">
        <v>654</v>
      </c>
      <c r="M5" s="9" t="s">
        <v>510</v>
      </c>
      <c r="N5" s="9" t="s">
        <v>30</v>
      </c>
      <c r="O5" s="9" t="s">
        <v>655</v>
      </c>
      <c r="P5" s="9" t="s">
        <v>511</v>
      </c>
      <c r="Q5" s="9" t="s">
        <v>496</v>
      </c>
    </row>
    <row r="6" spans="1:19" ht="14.25" customHeight="1" x14ac:dyDescent="0.3">
      <c r="A6" s="46" t="s">
        <v>270</v>
      </c>
      <c r="B6" s="11"/>
      <c r="C6" s="28" t="s">
        <v>656</v>
      </c>
      <c r="D6" s="28" t="s">
        <v>656</v>
      </c>
      <c r="E6" s="11"/>
      <c r="F6" s="11"/>
      <c r="G6" s="11"/>
      <c r="H6" s="11"/>
      <c r="I6" s="11"/>
      <c r="J6" s="28" t="s">
        <v>656</v>
      </c>
      <c r="K6" s="29" t="s">
        <v>546</v>
      </c>
      <c r="L6" s="29" t="s">
        <v>657</v>
      </c>
      <c r="M6" s="11"/>
      <c r="N6" s="11"/>
      <c r="O6" s="11"/>
      <c r="P6" s="46" t="s">
        <v>270</v>
      </c>
      <c r="Q6" s="29" t="s">
        <v>546</v>
      </c>
    </row>
    <row r="8" spans="1:19" ht="14.25" customHeight="1" x14ac:dyDescent="0.3">
      <c r="A8" s="23">
        <v>46244</v>
      </c>
      <c r="B8" s="10" t="s">
        <v>86</v>
      </c>
      <c r="C8" s="10" t="s">
        <v>633</v>
      </c>
      <c r="D8" s="10" t="s">
        <v>76</v>
      </c>
      <c r="E8" s="10" t="s">
        <v>77</v>
      </c>
      <c r="F8" s="10" t="s">
        <v>79</v>
      </c>
      <c r="G8" s="10" t="s">
        <v>80</v>
      </c>
      <c r="H8" s="13">
        <v>63</v>
      </c>
      <c r="I8" s="10" t="s">
        <v>180</v>
      </c>
      <c r="J8" s="10" t="s">
        <v>344</v>
      </c>
      <c r="K8" s="10" t="s">
        <v>658</v>
      </c>
      <c r="L8" s="13">
        <v>303007</v>
      </c>
      <c r="M8" s="13">
        <v>2000</v>
      </c>
      <c r="N8" s="10" t="s">
        <v>72</v>
      </c>
      <c r="O8" s="13">
        <v>42</v>
      </c>
      <c r="P8" s="40">
        <f t="shared" ref="P8:P14" si="0">M8*O8</f>
        <v>84000</v>
      </c>
      <c r="Q8" s="10" t="s">
        <v>659</v>
      </c>
    </row>
    <row r="9" spans="1:19" ht="14.25" customHeight="1" x14ac:dyDescent="0.3">
      <c r="A9" s="23">
        <v>46246</v>
      </c>
      <c r="B9" s="10" t="s">
        <v>86</v>
      </c>
      <c r="C9" s="10" t="s">
        <v>641</v>
      </c>
      <c r="D9" s="10" t="s">
        <v>113</v>
      </c>
      <c r="E9" s="10" t="s">
        <v>77</v>
      </c>
      <c r="F9" s="10" t="s">
        <v>116</v>
      </c>
      <c r="G9" s="10" t="s">
        <v>117</v>
      </c>
      <c r="H9" s="13">
        <v>63</v>
      </c>
      <c r="I9" s="10" t="s">
        <v>204</v>
      </c>
      <c r="J9" s="10" t="s">
        <v>344</v>
      </c>
      <c r="K9" s="10" t="s">
        <v>658</v>
      </c>
      <c r="L9" s="13">
        <v>303007</v>
      </c>
      <c r="M9" s="13">
        <v>3000</v>
      </c>
      <c r="N9" s="10" t="s">
        <v>72</v>
      </c>
      <c r="O9" s="13">
        <v>45</v>
      </c>
      <c r="P9" s="40">
        <f t="shared" si="0"/>
        <v>135000</v>
      </c>
      <c r="Q9" s="10" t="s">
        <v>660</v>
      </c>
    </row>
    <row r="10" spans="1:19" ht="14.25" customHeight="1" x14ac:dyDescent="0.3">
      <c r="A10" s="23">
        <v>46249</v>
      </c>
      <c r="B10" s="10" t="s">
        <v>123</v>
      </c>
      <c r="C10" s="10" t="s">
        <v>638</v>
      </c>
      <c r="D10" s="10" t="s">
        <v>151</v>
      </c>
      <c r="E10" s="10" t="s">
        <v>152</v>
      </c>
      <c r="F10" s="10" t="s">
        <v>116</v>
      </c>
      <c r="G10" s="10" t="s">
        <v>117</v>
      </c>
      <c r="H10" s="13">
        <v>63</v>
      </c>
      <c r="I10" s="10" t="s">
        <v>204</v>
      </c>
      <c r="J10" s="10" t="s">
        <v>353</v>
      </c>
      <c r="K10" s="10" t="s">
        <v>658</v>
      </c>
      <c r="L10" s="13">
        <v>303007</v>
      </c>
      <c r="M10" s="13">
        <v>1200</v>
      </c>
      <c r="N10" s="10" t="s">
        <v>72</v>
      </c>
      <c r="O10" s="13">
        <v>38</v>
      </c>
      <c r="P10" s="40">
        <f t="shared" si="0"/>
        <v>45600</v>
      </c>
      <c r="Q10" s="10" t="s">
        <v>640</v>
      </c>
    </row>
    <row r="11" spans="1:19" ht="14.25" customHeight="1" x14ac:dyDescent="0.3">
      <c r="A11" s="23">
        <v>46251</v>
      </c>
      <c r="B11" s="10" t="s">
        <v>86</v>
      </c>
      <c r="C11" s="10" t="s">
        <v>642</v>
      </c>
      <c r="D11" s="10" t="s">
        <v>178</v>
      </c>
      <c r="E11" s="10" t="s">
        <v>203</v>
      </c>
      <c r="F11" s="10" t="s">
        <v>79</v>
      </c>
      <c r="G11" s="10" t="s">
        <v>80</v>
      </c>
      <c r="H11" s="13">
        <v>60</v>
      </c>
      <c r="I11" s="10" t="s">
        <v>153</v>
      </c>
      <c r="J11" s="10" t="s">
        <v>344</v>
      </c>
      <c r="K11" s="10" t="s">
        <v>658</v>
      </c>
      <c r="L11" s="13">
        <v>303007</v>
      </c>
      <c r="M11" s="13">
        <v>2200</v>
      </c>
      <c r="N11" s="10" t="s">
        <v>72</v>
      </c>
      <c r="O11" s="13">
        <v>44</v>
      </c>
      <c r="P11" s="40">
        <f t="shared" si="0"/>
        <v>96800</v>
      </c>
      <c r="Q11" s="10" t="s">
        <v>661</v>
      </c>
    </row>
    <row r="12" spans="1:19" ht="14.25" customHeight="1" x14ac:dyDescent="0.3">
      <c r="A12" s="23">
        <v>46253</v>
      </c>
      <c r="B12" s="10" t="s">
        <v>86</v>
      </c>
      <c r="C12" s="10" t="s">
        <v>644</v>
      </c>
      <c r="D12" s="10" t="s">
        <v>223</v>
      </c>
      <c r="E12" s="10" t="s">
        <v>179</v>
      </c>
      <c r="F12" s="10" t="s">
        <v>79</v>
      </c>
      <c r="G12" s="10" t="s">
        <v>155</v>
      </c>
      <c r="H12" s="13">
        <v>58</v>
      </c>
      <c r="I12" s="10" t="s">
        <v>115</v>
      </c>
      <c r="J12" s="10" t="s">
        <v>344</v>
      </c>
      <c r="K12" s="10" t="s">
        <v>658</v>
      </c>
      <c r="L12" s="13">
        <v>303007</v>
      </c>
      <c r="M12" s="13">
        <v>1500</v>
      </c>
      <c r="N12" s="10" t="s">
        <v>72</v>
      </c>
      <c r="O12" s="13">
        <v>40</v>
      </c>
      <c r="P12" s="40">
        <f t="shared" si="0"/>
        <v>60000</v>
      </c>
      <c r="Q12" s="10" t="s">
        <v>662</v>
      </c>
    </row>
    <row r="13" spans="1:19" ht="14.25" customHeight="1" x14ac:dyDescent="0.3">
      <c r="A13" s="23">
        <v>46255</v>
      </c>
      <c r="B13" s="10" t="s">
        <v>123</v>
      </c>
      <c r="C13" s="10" t="s">
        <v>645</v>
      </c>
      <c r="D13" s="10" t="s">
        <v>236</v>
      </c>
      <c r="E13" s="10" t="s">
        <v>114</v>
      </c>
      <c r="F13" s="10" t="s">
        <v>205</v>
      </c>
      <c r="G13" s="10" t="s">
        <v>182</v>
      </c>
      <c r="H13" s="13">
        <v>60</v>
      </c>
      <c r="I13" s="10" t="s">
        <v>224</v>
      </c>
      <c r="J13" s="10" t="s">
        <v>362</v>
      </c>
      <c r="K13" s="10" t="s">
        <v>363</v>
      </c>
      <c r="L13" s="13">
        <v>302022</v>
      </c>
      <c r="M13" s="13">
        <v>1100</v>
      </c>
      <c r="N13" s="10" t="s">
        <v>72</v>
      </c>
      <c r="O13" s="13">
        <v>36</v>
      </c>
      <c r="P13" s="40">
        <f t="shared" si="0"/>
        <v>39600</v>
      </c>
      <c r="Q13" s="10" t="s">
        <v>369</v>
      </c>
    </row>
    <row r="14" spans="1:19" ht="14.25" customHeight="1" x14ac:dyDescent="0.3">
      <c r="A14" s="23">
        <v>46257</v>
      </c>
      <c r="B14" s="10" t="s">
        <v>86</v>
      </c>
      <c r="C14" s="10" t="s">
        <v>647</v>
      </c>
      <c r="D14" s="10" t="s">
        <v>202</v>
      </c>
      <c r="E14" s="10" t="s">
        <v>179</v>
      </c>
      <c r="F14" s="10" t="s">
        <v>79</v>
      </c>
      <c r="G14" s="10" t="s">
        <v>155</v>
      </c>
      <c r="H14" s="13">
        <v>58</v>
      </c>
      <c r="I14" s="10" t="s">
        <v>115</v>
      </c>
      <c r="J14" s="10" t="s">
        <v>344</v>
      </c>
      <c r="K14" s="10" t="s">
        <v>658</v>
      </c>
      <c r="L14" s="13">
        <v>303007</v>
      </c>
      <c r="M14" s="13">
        <v>1800</v>
      </c>
      <c r="N14" s="10" t="s">
        <v>72</v>
      </c>
      <c r="O14" s="13">
        <v>41</v>
      </c>
      <c r="P14" s="40">
        <f t="shared" si="0"/>
        <v>73800</v>
      </c>
      <c r="Q14" s="10" t="s">
        <v>663</v>
      </c>
    </row>
  </sheetData>
  <mergeCells count="2">
    <mergeCell ref="J1:M1"/>
    <mergeCell ref="J2:M2"/>
  </mergeCells>
  <dataValidations count="9">
    <dataValidation type="list" allowBlank="1" errorTitle="Not in master" error="Value must be chosen from the master list." promptTitle="Master-driven list" prompt="Select from L_Process" sqref="B8:B500" xr:uid="{00000000-0002-0000-0E00-000000000000}">
      <formula1>L_Process</formula1>
      <formula2>0</formula2>
    </dataValidation>
    <dataValidation type="list" allowBlank="1" errorTitle="Not in master" error="Value must be chosen from the master list." promptTitle="Master-driven list" prompt="Select from M_FabricNo" sqref="C8:C500" xr:uid="{00000000-0002-0000-0E00-000001000000}">
      <formula1>M_FabricNo</formula1>
      <formula2>0</formula2>
    </dataValidation>
    <dataValidation type="list" allowBlank="1" errorTitle="Not in master" error="Value must be chosen from the master list." promptTitle="Master-driven list" prompt="Select from L_ColorCode" sqref="D8:D500" xr:uid="{00000000-0002-0000-0E00-000002000000}">
      <formula1>L_ColorCode</formula1>
      <formula2>0</formula2>
    </dataValidation>
    <dataValidation type="list" allowBlank="1" errorTitle="Not in master" error="Value must be chosen from the master list." promptTitle="Master-driven list" prompt="Select from L_FabricContent" sqref="E8:E500" xr:uid="{00000000-0002-0000-0E00-000003000000}">
      <formula1>L_FabricContent</formula1>
      <formula2>0</formula2>
    </dataValidation>
    <dataValidation type="list" allowBlank="1" errorTitle="Not in master" error="Value must be chosen from the master list." promptTitle="Master-driven list" prompt="Select from L_Count" sqref="F8:F500" xr:uid="{00000000-0002-0000-0E00-000004000000}">
      <formula1>L_Count</formula1>
      <formula2>0</formula2>
    </dataValidation>
    <dataValidation type="list" allowBlank="1" errorTitle="Not in master" error="Value must be chosen from the master list." promptTitle="Master-driven list" prompt="Select from L_Construction" sqref="G8:G500" xr:uid="{00000000-0002-0000-0E00-000005000000}">
      <formula1>L_Construction</formula1>
      <formula2>0</formula2>
    </dataValidation>
    <dataValidation type="list" allowBlank="1" errorTitle="Not in master" error="Value must be chosen from the master list." promptTitle="Master-driven list" prompt="Select from L_GSM" sqref="I8:I500" xr:uid="{00000000-0002-0000-0E00-000006000000}">
      <formula1>L_GSM</formula1>
      <formula2>0</formula2>
    </dataValidation>
    <dataValidation type="list" allowBlank="1" errorTitle="Not in master" error="Value must be chosen from the master list." promptTitle="Master-driven list" prompt="Select from M_VendorName" sqref="J8:J500" xr:uid="{00000000-0002-0000-0E00-000007000000}">
      <formula1>M_VendorName</formula1>
      <formula2>0</formula2>
    </dataValidation>
    <dataValidation type="list" allowBlank="1" errorTitle="Not in master" error="Value must be chosen from the master list." promptTitle="Master-driven list" prompt="Select from L_UOM" sqref="N8:N500" xr:uid="{00000000-0002-0000-0E00-000008000000}">
      <formula1>L_UOM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</sheetPr>
  <dimension ref="A1:L13"/>
  <sheetViews>
    <sheetView showGridLines="0" zoomScaleNormal="100" workbookViewId="0">
      <pane ySplit="6" topLeftCell="A7" activePane="bottomLeft" state="frozen"/>
      <selection pane="bottomLeft" activeCell="H8" sqref="H8"/>
    </sheetView>
  </sheetViews>
  <sheetFormatPr defaultColWidth="8.5546875" defaultRowHeight="14.4" x14ac:dyDescent="0.3"/>
  <cols>
    <col min="1" max="1" width="29" customWidth="1"/>
    <col min="2" max="2" width="20" customWidth="1"/>
    <col min="3" max="6" width="14" customWidth="1"/>
    <col min="7" max="7" width="28" customWidth="1"/>
    <col min="8" max="8" width="31" customWidth="1"/>
    <col min="9" max="10" width="21" customWidth="1"/>
  </cols>
  <sheetData>
    <row r="1" spans="1:12" ht="21" customHeight="1" x14ac:dyDescent="0.3">
      <c r="A1" s="8" t="s">
        <v>569</v>
      </c>
      <c r="C1" s="77" t="s">
        <v>25</v>
      </c>
      <c r="D1" s="77"/>
      <c r="E1" s="77"/>
      <c r="F1" s="77"/>
      <c r="G1" s="77"/>
      <c r="H1" s="77"/>
      <c r="I1" s="77"/>
      <c r="J1" s="77"/>
      <c r="K1" s="77"/>
      <c r="L1" s="77"/>
    </row>
    <row r="2" spans="1:12" ht="21" customHeight="1" x14ac:dyDescent="0.3">
      <c r="A2" s="2"/>
      <c r="C2" s="78" t="s">
        <v>664</v>
      </c>
      <c r="D2" s="78"/>
      <c r="E2" s="78"/>
      <c r="F2" s="78"/>
      <c r="G2" s="78"/>
      <c r="H2" s="78"/>
      <c r="I2" s="78"/>
      <c r="J2" s="78"/>
      <c r="K2" s="78"/>
      <c r="L2" s="78"/>
    </row>
    <row r="3" spans="1:12" ht="12" customHeight="1" x14ac:dyDescent="0.3"/>
    <row r="4" spans="1:12" ht="30" customHeight="1" x14ac:dyDescent="0.3">
      <c r="A4" s="9" t="s">
        <v>493</v>
      </c>
      <c r="B4" s="9" t="s">
        <v>665</v>
      </c>
      <c r="C4" s="9" t="s">
        <v>626</v>
      </c>
      <c r="D4" s="9" t="s">
        <v>666</v>
      </c>
      <c r="E4" s="9" t="s">
        <v>667</v>
      </c>
      <c r="F4" s="9" t="s">
        <v>668</v>
      </c>
      <c r="G4" s="9" t="s">
        <v>669</v>
      </c>
      <c r="H4" s="9" t="s">
        <v>670</v>
      </c>
      <c r="I4" s="9" t="s">
        <v>269</v>
      </c>
      <c r="J4" s="9" t="s">
        <v>322</v>
      </c>
    </row>
    <row r="5" spans="1:12" ht="14.25" customHeight="1" x14ac:dyDescent="0.3">
      <c r="A5" s="35" t="s">
        <v>270</v>
      </c>
      <c r="B5" s="36" t="s">
        <v>272</v>
      </c>
      <c r="C5" s="35" t="s">
        <v>270</v>
      </c>
      <c r="D5" s="35" t="s">
        <v>270</v>
      </c>
      <c r="E5" s="37" t="s">
        <v>271</v>
      </c>
      <c r="F5" s="35" t="s">
        <v>514</v>
      </c>
      <c r="G5" s="37" t="s">
        <v>271</v>
      </c>
      <c r="H5" s="35" t="s">
        <v>514</v>
      </c>
      <c r="I5" s="36" t="s">
        <v>272</v>
      </c>
      <c r="J5" s="37" t="s">
        <v>323</v>
      </c>
    </row>
    <row r="6" spans="1:12" ht="42.75" customHeight="1" x14ac:dyDescent="0.3">
      <c r="B6" s="38" t="s">
        <v>671</v>
      </c>
      <c r="F6" s="38" t="s">
        <v>672</v>
      </c>
      <c r="G6" s="38" t="s">
        <v>548</v>
      </c>
      <c r="H6" s="38" t="s">
        <v>673</v>
      </c>
      <c r="I6" s="38" t="s">
        <v>674</v>
      </c>
    </row>
    <row r="7" spans="1:12" ht="14.25" customHeight="1" x14ac:dyDescent="0.3">
      <c r="A7" s="23">
        <v>46248</v>
      </c>
      <c r="B7" s="10" t="s">
        <v>585</v>
      </c>
      <c r="C7" s="10" t="s">
        <v>633</v>
      </c>
      <c r="D7" s="13">
        <v>2000</v>
      </c>
      <c r="E7" s="13">
        <v>1950</v>
      </c>
      <c r="F7" s="43">
        <f t="shared" ref="F7:F13" si="0">IFERROR((D7-E7)/D7,0)</f>
        <v>2.5000000000000001E-2</v>
      </c>
      <c r="G7" s="25">
        <v>0.03</v>
      </c>
      <c r="H7" s="47" t="str">
        <f t="shared" ref="H7:H13" si="1">IF(F7&gt;G7,"Yes","No")</f>
        <v>No</v>
      </c>
      <c r="I7" s="10" t="s">
        <v>105</v>
      </c>
      <c r="J7" s="10" t="s">
        <v>675</v>
      </c>
    </row>
    <row r="8" spans="1:12" ht="14.25" customHeight="1" x14ac:dyDescent="0.3">
      <c r="A8" s="23">
        <v>46250</v>
      </c>
      <c r="B8" s="10" t="s">
        <v>676</v>
      </c>
      <c r="C8" s="10" t="s">
        <v>641</v>
      </c>
      <c r="D8" s="13">
        <v>3000</v>
      </c>
      <c r="E8" s="13">
        <v>2895</v>
      </c>
      <c r="F8" s="43">
        <f t="shared" si="0"/>
        <v>3.5000000000000003E-2</v>
      </c>
      <c r="G8" s="25">
        <v>0.03</v>
      </c>
      <c r="H8" s="47" t="str">
        <f t="shared" si="1"/>
        <v>Yes</v>
      </c>
      <c r="I8" s="10" t="s">
        <v>105</v>
      </c>
      <c r="J8" s="10" t="s">
        <v>677</v>
      </c>
    </row>
    <row r="9" spans="1:12" ht="14.25" customHeight="1" x14ac:dyDescent="0.3">
      <c r="A9" s="23">
        <v>46252</v>
      </c>
      <c r="B9" s="10" t="s">
        <v>678</v>
      </c>
      <c r="C9" s="10" t="s">
        <v>642</v>
      </c>
      <c r="D9" s="13">
        <v>2200</v>
      </c>
      <c r="E9" s="13">
        <v>2090</v>
      </c>
      <c r="F9" s="43">
        <f t="shared" si="0"/>
        <v>0.05</v>
      </c>
      <c r="G9" s="25">
        <v>0.03</v>
      </c>
      <c r="H9" s="47" t="str">
        <f t="shared" si="1"/>
        <v>Yes</v>
      </c>
      <c r="I9" s="10" t="s">
        <v>142</v>
      </c>
      <c r="J9" s="10" t="s">
        <v>679</v>
      </c>
    </row>
    <row r="10" spans="1:12" ht="14.25" customHeight="1" x14ac:dyDescent="0.3">
      <c r="A10" s="23">
        <v>46256</v>
      </c>
      <c r="B10" s="10" t="s">
        <v>680</v>
      </c>
      <c r="C10" s="10" t="s">
        <v>644</v>
      </c>
      <c r="D10" s="13">
        <v>1500</v>
      </c>
      <c r="E10" s="13">
        <v>1470</v>
      </c>
      <c r="F10" s="43">
        <f t="shared" si="0"/>
        <v>0.02</v>
      </c>
      <c r="G10" s="25">
        <v>0.03</v>
      </c>
      <c r="H10" s="47" t="str">
        <f t="shared" si="1"/>
        <v>No</v>
      </c>
      <c r="I10" s="10" t="s">
        <v>105</v>
      </c>
      <c r="J10" s="10"/>
    </row>
    <row r="11" spans="1:12" ht="14.25" customHeight="1" x14ac:dyDescent="0.3">
      <c r="A11" s="23">
        <v>46259</v>
      </c>
      <c r="B11" s="10" t="s">
        <v>681</v>
      </c>
      <c r="C11" s="10" t="s">
        <v>647</v>
      </c>
      <c r="D11" s="13">
        <v>1800</v>
      </c>
      <c r="E11" s="13">
        <v>1746</v>
      </c>
      <c r="F11" s="43">
        <f t="shared" si="0"/>
        <v>0.03</v>
      </c>
      <c r="G11" s="25">
        <v>0.03</v>
      </c>
      <c r="H11" s="47" t="str">
        <f t="shared" si="1"/>
        <v>No</v>
      </c>
      <c r="I11" s="10" t="s">
        <v>105</v>
      </c>
      <c r="J11" s="10"/>
    </row>
    <row r="12" spans="1:12" ht="14.25" customHeight="1" x14ac:dyDescent="0.3">
      <c r="A12" s="23">
        <v>46260</v>
      </c>
      <c r="B12" s="10" t="s">
        <v>682</v>
      </c>
      <c r="C12" s="10" t="s">
        <v>648</v>
      </c>
      <c r="D12" s="13">
        <v>2500</v>
      </c>
      <c r="E12" s="13">
        <v>2350</v>
      </c>
      <c r="F12" s="43">
        <f t="shared" si="0"/>
        <v>0.06</v>
      </c>
      <c r="G12" s="25">
        <v>0.03</v>
      </c>
      <c r="H12" s="47" t="str">
        <f t="shared" si="1"/>
        <v>Yes</v>
      </c>
      <c r="I12" s="10" t="s">
        <v>142</v>
      </c>
      <c r="J12" s="10" t="s">
        <v>683</v>
      </c>
    </row>
    <row r="13" spans="1:12" ht="14.25" customHeight="1" x14ac:dyDescent="0.3">
      <c r="A13" s="23">
        <v>46262</v>
      </c>
      <c r="B13" s="10" t="s">
        <v>684</v>
      </c>
      <c r="C13" s="10" t="s">
        <v>650</v>
      </c>
      <c r="D13" s="13">
        <v>1600</v>
      </c>
      <c r="E13" s="13">
        <v>1568</v>
      </c>
      <c r="F13" s="43">
        <f t="shared" si="0"/>
        <v>0.02</v>
      </c>
      <c r="G13" s="25">
        <v>0.03</v>
      </c>
      <c r="H13" s="47" t="str">
        <f t="shared" si="1"/>
        <v>No</v>
      </c>
      <c r="I13" s="10" t="s">
        <v>105</v>
      </c>
      <c r="J13" s="10"/>
    </row>
  </sheetData>
  <mergeCells count="2">
    <mergeCell ref="C1:L1"/>
    <mergeCell ref="C2:L2"/>
  </mergeCells>
  <dataValidations count="2">
    <dataValidation type="list" allowBlank="1" errorTitle="Not in master" error="Value must be chosen from the master list." promptTitle="Master-driven list" prompt="Select from M_FabricNo" sqref="C7:C500" xr:uid="{00000000-0002-0000-0F00-000000000000}">
      <formula1>M_FabricNo</formula1>
      <formula2>0</formula2>
    </dataValidation>
    <dataValidation type="list" allowBlank="1" errorTitle="Not in master" error="Value must be chosen from the master list." promptTitle="Master-driven list" prompt="Select from L_StatusDyeRecv" sqref="I7:I500" xr:uid="{00000000-0002-0000-0F00-000001000000}">
      <formula1>L_StatusDyeRecv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50"/>
  </sheetPr>
  <dimension ref="A1:L13"/>
  <sheetViews>
    <sheetView showGridLines="0" zoomScaleNormal="100" workbookViewId="0">
      <pane ySplit="6" topLeftCell="A7" activePane="bottomLeft" state="frozen"/>
      <selection pane="bottomLeft" activeCell="K20" sqref="K20"/>
    </sheetView>
  </sheetViews>
  <sheetFormatPr defaultColWidth="8.5546875" defaultRowHeight="14.4" x14ac:dyDescent="0.3"/>
  <cols>
    <col min="1" max="7" width="24" customWidth="1"/>
    <col min="8" max="8" width="15" customWidth="1"/>
    <col min="9" max="10" width="22" customWidth="1"/>
  </cols>
  <sheetData>
    <row r="1" spans="1:12" ht="21" customHeight="1" x14ac:dyDescent="0.3">
      <c r="A1" s="8" t="s">
        <v>685</v>
      </c>
      <c r="C1" s="77" t="s">
        <v>25</v>
      </c>
      <c r="D1" s="77"/>
      <c r="E1" s="77"/>
      <c r="F1" s="77"/>
      <c r="G1" s="77"/>
      <c r="H1" s="77"/>
      <c r="I1" s="77"/>
      <c r="J1" s="77"/>
      <c r="K1" s="77"/>
      <c r="L1" s="77"/>
    </row>
    <row r="2" spans="1:12" ht="21" customHeight="1" x14ac:dyDescent="0.3">
      <c r="A2" s="2"/>
      <c r="C2" s="78" t="s">
        <v>686</v>
      </c>
      <c r="D2" s="78"/>
      <c r="E2" s="78"/>
      <c r="F2" s="78"/>
      <c r="G2" s="78"/>
      <c r="H2" s="78"/>
      <c r="I2" s="78"/>
      <c r="J2" s="78"/>
      <c r="K2" s="78"/>
      <c r="L2" s="78"/>
    </row>
    <row r="3" spans="1:12" ht="12" customHeight="1" x14ac:dyDescent="0.3"/>
    <row r="4" spans="1:12" ht="30" customHeight="1" x14ac:dyDescent="0.3">
      <c r="A4" s="9" t="s">
        <v>493</v>
      </c>
      <c r="B4" s="9" t="s">
        <v>626</v>
      </c>
      <c r="C4" s="9" t="s">
        <v>457</v>
      </c>
      <c r="D4" s="9" t="s">
        <v>389</v>
      </c>
      <c r="E4" s="9" t="s">
        <v>687</v>
      </c>
      <c r="F4" s="9" t="s">
        <v>688</v>
      </c>
      <c r="G4" s="9" t="s">
        <v>689</v>
      </c>
      <c r="H4" s="9" t="s">
        <v>512</v>
      </c>
      <c r="I4" s="9" t="s">
        <v>58</v>
      </c>
      <c r="J4" s="9" t="s">
        <v>322</v>
      </c>
    </row>
    <row r="5" spans="1:12" ht="14.25" customHeight="1" x14ac:dyDescent="0.3">
      <c r="A5" s="35" t="s">
        <v>270</v>
      </c>
      <c r="B5" s="36" t="s">
        <v>272</v>
      </c>
      <c r="C5" s="36" t="s">
        <v>272</v>
      </c>
      <c r="D5" s="36" t="s">
        <v>272</v>
      </c>
      <c r="E5" s="36" t="s">
        <v>272</v>
      </c>
      <c r="F5" s="37" t="s">
        <v>271</v>
      </c>
      <c r="G5" s="36" t="s">
        <v>272</v>
      </c>
      <c r="H5" s="36" t="s">
        <v>272</v>
      </c>
      <c r="I5" s="36" t="s">
        <v>272</v>
      </c>
      <c r="J5" s="37" t="s">
        <v>323</v>
      </c>
    </row>
    <row r="6" spans="1:12" ht="42.75" customHeight="1" x14ac:dyDescent="0.3">
      <c r="E6" s="38" t="s">
        <v>690</v>
      </c>
      <c r="G6" s="38" t="s">
        <v>691</v>
      </c>
      <c r="H6" s="39" t="s">
        <v>96</v>
      </c>
      <c r="I6" s="38" t="s">
        <v>692</v>
      </c>
    </row>
    <row r="7" spans="1:12" ht="14.25" customHeight="1" x14ac:dyDescent="0.3">
      <c r="A7" s="23">
        <v>46252</v>
      </c>
      <c r="B7" s="10" t="s">
        <v>642</v>
      </c>
      <c r="C7" s="10" t="s">
        <v>474</v>
      </c>
      <c r="D7" s="10" t="s">
        <v>407</v>
      </c>
      <c r="E7" s="10" t="s">
        <v>260</v>
      </c>
      <c r="F7" s="13">
        <v>110</v>
      </c>
      <c r="G7" s="10" t="s">
        <v>438</v>
      </c>
      <c r="H7" s="10" t="s">
        <v>96</v>
      </c>
      <c r="I7" s="10" t="s">
        <v>165</v>
      </c>
      <c r="J7" s="10" t="s">
        <v>693</v>
      </c>
    </row>
    <row r="8" spans="1:12" ht="14.25" customHeight="1" x14ac:dyDescent="0.3">
      <c r="A8" s="23">
        <v>46253</v>
      </c>
      <c r="B8" s="10" t="s">
        <v>642</v>
      </c>
      <c r="C8" s="10" t="s">
        <v>474</v>
      </c>
      <c r="D8" s="10" t="s">
        <v>407</v>
      </c>
      <c r="E8" s="10" t="s">
        <v>253</v>
      </c>
      <c r="F8" s="13">
        <v>40</v>
      </c>
      <c r="G8" s="10" t="s">
        <v>441</v>
      </c>
      <c r="H8" s="10" t="s">
        <v>96</v>
      </c>
      <c r="I8" s="10" t="s">
        <v>133</v>
      </c>
      <c r="J8" s="10" t="s">
        <v>694</v>
      </c>
    </row>
    <row r="9" spans="1:12" ht="14.25" customHeight="1" x14ac:dyDescent="0.3">
      <c r="A9" s="23">
        <v>46260</v>
      </c>
      <c r="B9" s="10" t="s">
        <v>648</v>
      </c>
      <c r="C9" s="10" t="s">
        <v>481</v>
      </c>
      <c r="D9" s="10" t="s">
        <v>418</v>
      </c>
      <c r="E9" s="10" t="s">
        <v>260</v>
      </c>
      <c r="F9" s="13">
        <v>150</v>
      </c>
      <c r="G9" s="10" t="s">
        <v>438</v>
      </c>
      <c r="H9" s="10" t="s">
        <v>96</v>
      </c>
      <c r="I9" s="10" t="s">
        <v>165</v>
      </c>
      <c r="J9" s="10" t="s">
        <v>695</v>
      </c>
    </row>
    <row r="10" spans="1:12" ht="14.25" customHeight="1" x14ac:dyDescent="0.3">
      <c r="A10" s="23">
        <v>46261</v>
      </c>
      <c r="B10" s="10" t="s">
        <v>648</v>
      </c>
      <c r="C10" s="10" t="s">
        <v>481</v>
      </c>
      <c r="D10" s="10" t="s">
        <v>418</v>
      </c>
      <c r="E10" s="10" t="s">
        <v>254</v>
      </c>
      <c r="F10" s="13">
        <v>25</v>
      </c>
      <c r="G10" s="10" t="s">
        <v>441</v>
      </c>
      <c r="H10" s="10" t="s">
        <v>96</v>
      </c>
      <c r="I10" s="10" t="s">
        <v>133</v>
      </c>
      <c r="J10" s="10" t="s">
        <v>696</v>
      </c>
    </row>
    <row r="11" spans="1:12" ht="14.25" customHeight="1" x14ac:dyDescent="0.3">
      <c r="A11" s="23">
        <v>46263</v>
      </c>
      <c r="B11" s="10" t="s">
        <v>636</v>
      </c>
      <c r="C11" s="10" t="s">
        <v>469</v>
      </c>
      <c r="D11" s="10" t="s">
        <v>400</v>
      </c>
      <c r="E11" s="10" t="s">
        <v>259</v>
      </c>
      <c r="F11" s="13">
        <v>18</v>
      </c>
      <c r="G11" s="10" t="s">
        <v>438</v>
      </c>
      <c r="H11" s="10" t="s">
        <v>96</v>
      </c>
      <c r="I11" s="10" t="s">
        <v>98</v>
      </c>
      <c r="J11" s="10" t="s">
        <v>697</v>
      </c>
    </row>
    <row r="12" spans="1:12" ht="14.25" customHeight="1" x14ac:dyDescent="0.3">
      <c r="A12" s="23">
        <v>46264</v>
      </c>
      <c r="B12" s="10" t="s">
        <v>644</v>
      </c>
      <c r="C12" s="10" t="s">
        <v>478</v>
      </c>
      <c r="D12" s="10" t="s">
        <v>411</v>
      </c>
      <c r="E12" s="10" t="s">
        <v>253</v>
      </c>
      <c r="F12" s="13">
        <v>32</v>
      </c>
      <c r="G12" s="10" t="s">
        <v>441</v>
      </c>
      <c r="H12" s="10" t="s">
        <v>96</v>
      </c>
      <c r="I12" s="10" t="s">
        <v>165</v>
      </c>
      <c r="J12" s="10" t="s">
        <v>698</v>
      </c>
    </row>
    <row r="13" spans="1:12" ht="14.25" customHeight="1" x14ac:dyDescent="0.3">
      <c r="A13" s="23">
        <v>46265</v>
      </c>
      <c r="B13" s="10" t="s">
        <v>647</v>
      </c>
      <c r="C13" s="10" t="s">
        <v>487</v>
      </c>
      <c r="D13" s="10" t="s">
        <v>415</v>
      </c>
      <c r="E13" s="10" t="s">
        <v>260</v>
      </c>
      <c r="F13" s="13">
        <v>60</v>
      </c>
      <c r="G13" s="10" t="s">
        <v>438</v>
      </c>
      <c r="H13" s="10" t="s">
        <v>96</v>
      </c>
      <c r="I13" s="10" t="s">
        <v>98</v>
      </c>
      <c r="J13" s="10" t="s">
        <v>699</v>
      </c>
    </row>
  </sheetData>
  <mergeCells count="2">
    <mergeCell ref="C1:L1"/>
    <mergeCell ref="C2:L2"/>
  </mergeCells>
  <dataValidations count="7">
    <dataValidation type="list" allowBlank="1" errorTitle="Not in master" error="Value must be chosen from the master list." promptTitle="Master-driven list" prompt="Select from M_FabricNo" sqref="B7:B500" xr:uid="{00000000-0002-0000-1000-000000000000}">
      <formula1>M_FabricNo</formula1>
      <formula2>0</formula2>
    </dataValidation>
    <dataValidation type="list" allowBlank="1" errorTitle="Not in master" error="Value must be chosen from the master list." promptTitle="Master-driven list" prompt="Select from M_OrderNo" sqref="C7:C500" xr:uid="{00000000-0002-0000-1000-000001000000}">
      <formula1>M_OrderNo</formula1>
      <formula2>0</formula2>
    </dataValidation>
    <dataValidation type="list" allowBlank="1" errorTitle="Not in master" error="Value must be chosen from the master list." promptTitle="Master-driven list" prompt="Select from M_StyleNo" sqref="D7:D500" xr:uid="{00000000-0002-0000-1000-000002000000}">
      <formula1>M_StyleNo</formula1>
      <formula2>0</formula2>
    </dataValidation>
    <dataValidation type="list" allowBlank="1" errorTitle="Not in master" error="Value must be chosen from the master list." promptTitle="Master-driven list" prompt="Select from L_DefectType" sqref="E7:E500" xr:uid="{00000000-0002-0000-1000-000003000000}">
      <formula1>L_DefectType</formula1>
      <formula2>0</formula2>
    </dataValidation>
    <dataValidation type="list" allowBlank="1" errorTitle="Not in master" error="Value must be chosen from the master list." promptTitle="Master-driven list" prompt="Select from M_EmpName" sqref="G7:G500" xr:uid="{00000000-0002-0000-1000-000004000000}">
      <formula1>M_EmpName</formula1>
      <formula2>0</formula2>
    </dataValidation>
    <dataValidation type="list" allowBlank="1" errorTitle="Not in master" error="Value must be chosen from the master list." promptTitle="Master-driven list" prompt="Select from L_AuthorisedBy" sqref="H7:H500" xr:uid="{00000000-0002-0000-1000-000005000000}">
      <formula1>L_AuthorisedBy</formula1>
      <formula2>0</formula2>
    </dataValidation>
    <dataValidation type="list" allowBlank="1" errorTitle="Not in master" error="Value must be chosen from the master list." promptTitle="Master-driven list" prompt="Select from L_Decision" sqref="I7:I500" xr:uid="{00000000-0002-0000-1000-000006000000}">
      <formula1>L_Decision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50"/>
  </sheetPr>
  <dimension ref="A1:J12"/>
  <sheetViews>
    <sheetView zoomScaleNormal="100" workbookViewId="0">
      <pane ySplit="5" topLeftCell="A6" activePane="bottomLeft" state="frozen"/>
      <selection pane="bottomLeft" activeCell="F12" sqref="F12"/>
    </sheetView>
  </sheetViews>
  <sheetFormatPr defaultColWidth="8.5546875" defaultRowHeight="14.4" x14ac:dyDescent="0.3"/>
  <cols>
    <col min="1" max="1" width="21" customWidth="1"/>
    <col min="2" max="3" width="13" customWidth="1"/>
    <col min="4" max="5" width="18" customWidth="1"/>
    <col min="6" max="7" width="13" customWidth="1"/>
    <col min="8" max="8" width="28" customWidth="1"/>
  </cols>
  <sheetData>
    <row r="1" spans="1:10" ht="21" customHeight="1" x14ac:dyDescent="0.3">
      <c r="A1" s="21" t="s">
        <v>700</v>
      </c>
      <c r="D1" s="77" t="s">
        <v>25</v>
      </c>
      <c r="E1" s="77"/>
      <c r="F1" s="77"/>
      <c r="G1" s="77"/>
      <c r="J1" s="27"/>
    </row>
    <row r="2" spans="1:10" ht="21" customHeight="1" x14ac:dyDescent="0.3">
      <c r="D2" s="78" t="s">
        <v>701</v>
      </c>
      <c r="E2" s="78"/>
      <c r="F2" s="78"/>
      <c r="G2" s="78"/>
    </row>
    <row r="3" spans="1:10" ht="15" customHeight="1" x14ac:dyDescent="0.3">
      <c r="A3" s="9" t="s">
        <v>493</v>
      </c>
      <c r="B3" s="9" t="s">
        <v>457</v>
      </c>
      <c r="C3" s="9" t="s">
        <v>702</v>
      </c>
      <c r="D3" s="9" t="s">
        <v>703</v>
      </c>
      <c r="E3" s="9" t="s">
        <v>704</v>
      </c>
      <c r="F3" s="9" t="s">
        <v>510</v>
      </c>
      <c r="G3" s="9" t="s">
        <v>30</v>
      </c>
      <c r="H3" s="9" t="s">
        <v>322</v>
      </c>
    </row>
    <row r="4" spans="1:10" ht="14.25" customHeight="1" x14ac:dyDescent="0.3">
      <c r="A4" s="46" t="s">
        <v>270</v>
      </c>
      <c r="B4" s="28" t="s">
        <v>272</v>
      </c>
      <c r="C4" s="28" t="s">
        <v>272</v>
      </c>
      <c r="D4" s="48" t="s">
        <v>705</v>
      </c>
      <c r="E4" s="48" t="s">
        <v>706</v>
      </c>
      <c r="F4" s="11"/>
      <c r="G4" s="48" t="s">
        <v>175</v>
      </c>
      <c r="H4" s="11"/>
    </row>
    <row r="5" spans="1:10" ht="14.25" customHeight="1" x14ac:dyDescent="0.3">
      <c r="A5" s="11"/>
      <c r="B5" s="11"/>
      <c r="C5" s="11"/>
      <c r="D5" s="11"/>
      <c r="E5" s="48" t="s">
        <v>707</v>
      </c>
      <c r="F5" s="11"/>
      <c r="G5" s="48" t="s">
        <v>147</v>
      </c>
      <c r="H5" s="11"/>
    </row>
    <row r="6" spans="1:10" ht="14.25" customHeight="1" x14ac:dyDescent="0.3">
      <c r="A6" s="23">
        <v>46249</v>
      </c>
      <c r="B6" s="10" t="s">
        <v>481</v>
      </c>
      <c r="C6" s="10" t="s">
        <v>418</v>
      </c>
      <c r="D6" s="10" t="s">
        <v>353</v>
      </c>
      <c r="E6" s="10" t="s">
        <v>89</v>
      </c>
      <c r="F6" s="13">
        <v>1200</v>
      </c>
      <c r="G6" s="10" t="s">
        <v>175</v>
      </c>
      <c r="H6" s="10" t="s">
        <v>708</v>
      </c>
    </row>
    <row r="7" spans="1:10" ht="14.25" customHeight="1" x14ac:dyDescent="0.3">
      <c r="A7" s="23">
        <v>46251</v>
      </c>
      <c r="B7" s="10" t="s">
        <v>481</v>
      </c>
      <c r="C7" s="10" t="s">
        <v>418</v>
      </c>
      <c r="D7" s="10" t="s">
        <v>353</v>
      </c>
      <c r="E7" s="10" t="s">
        <v>89</v>
      </c>
      <c r="F7" s="13">
        <v>800</v>
      </c>
      <c r="G7" s="10" t="s">
        <v>175</v>
      </c>
      <c r="H7" s="10" t="s">
        <v>709</v>
      </c>
    </row>
    <row r="8" spans="1:10" ht="14.25" customHeight="1" x14ac:dyDescent="0.3">
      <c r="A8" s="23">
        <v>46255</v>
      </c>
      <c r="B8" s="10" t="s">
        <v>484</v>
      </c>
      <c r="C8" s="10" t="s">
        <v>422</v>
      </c>
      <c r="D8" s="10" t="s">
        <v>362</v>
      </c>
      <c r="E8" s="10" t="s">
        <v>89</v>
      </c>
      <c r="F8" s="13">
        <v>1100</v>
      </c>
      <c r="G8" s="10" t="s">
        <v>175</v>
      </c>
      <c r="H8" s="10" t="s">
        <v>369</v>
      </c>
    </row>
    <row r="9" spans="1:10" ht="14.25" customHeight="1" x14ac:dyDescent="0.3">
      <c r="A9" s="23">
        <v>46258</v>
      </c>
      <c r="B9" s="10" t="s">
        <v>469</v>
      </c>
      <c r="C9" s="10" t="s">
        <v>400</v>
      </c>
      <c r="D9" s="10" t="s">
        <v>353</v>
      </c>
      <c r="E9" s="10" t="s">
        <v>124</v>
      </c>
      <c r="F9" s="13">
        <v>500</v>
      </c>
      <c r="G9" s="10" t="s">
        <v>147</v>
      </c>
      <c r="H9" s="10" t="s">
        <v>710</v>
      </c>
    </row>
    <row r="10" spans="1:10" ht="14.25" customHeight="1" x14ac:dyDescent="0.3">
      <c r="A10" s="23">
        <v>46260</v>
      </c>
      <c r="B10" s="10" t="s">
        <v>473</v>
      </c>
      <c r="C10" s="10" t="s">
        <v>404</v>
      </c>
      <c r="D10" s="10" t="s">
        <v>353</v>
      </c>
      <c r="E10" s="10" t="s">
        <v>124</v>
      </c>
      <c r="F10" s="13">
        <v>750</v>
      </c>
      <c r="G10" s="10" t="s">
        <v>147</v>
      </c>
      <c r="H10" s="10" t="s">
        <v>711</v>
      </c>
    </row>
    <row r="11" spans="1:10" ht="14.25" customHeight="1" x14ac:dyDescent="0.3">
      <c r="A11" s="23">
        <v>46262</v>
      </c>
      <c r="B11" s="10" t="s">
        <v>474</v>
      </c>
      <c r="C11" s="10" t="s">
        <v>407</v>
      </c>
      <c r="D11" s="10" t="s">
        <v>362</v>
      </c>
      <c r="E11" s="10" t="s">
        <v>89</v>
      </c>
      <c r="F11" s="13">
        <v>900</v>
      </c>
      <c r="G11" s="10" t="s">
        <v>175</v>
      </c>
      <c r="H11" s="10"/>
    </row>
    <row r="12" spans="1:10" ht="14.25" customHeight="1" x14ac:dyDescent="0.3">
      <c r="A12" s="23">
        <v>46264</v>
      </c>
      <c r="B12" s="10" t="s">
        <v>487</v>
      </c>
      <c r="C12" s="10" t="s">
        <v>415</v>
      </c>
      <c r="D12" s="10" t="s">
        <v>353</v>
      </c>
      <c r="E12" s="10" t="s">
        <v>124</v>
      </c>
      <c r="F12" s="13">
        <v>400</v>
      </c>
      <c r="G12" s="10" t="s">
        <v>147</v>
      </c>
      <c r="H12" s="10" t="s">
        <v>712</v>
      </c>
    </row>
  </sheetData>
  <mergeCells count="2">
    <mergeCell ref="D1:G1"/>
    <mergeCell ref="D2:G2"/>
  </mergeCells>
  <dataValidations count="5">
    <dataValidation type="list" allowBlank="1" errorTitle="Not in master" error="Value must be chosen from the master list." promptTitle="Master-driven list" prompt="Select from M_OrderNo" sqref="B6:B500" xr:uid="{00000000-0002-0000-1100-000000000000}">
      <formula1>M_OrderNo</formula1>
      <formula2>0</formula2>
    </dataValidation>
    <dataValidation type="list" allowBlank="1" errorTitle="Not in master" error="Value must be chosen from the master list." promptTitle="Master-driven list" prompt="Select from M_StyleNo" sqref="C6:C500" xr:uid="{00000000-0002-0000-1100-000001000000}">
      <formula1>M_StyleNo</formula1>
      <formula2>0</formula2>
    </dataValidation>
    <dataValidation type="list" allowBlank="1" errorTitle="Not in master" error="Value must be chosen from the master list." promptTitle="Master-driven list" prompt="Select from M_VendorName" sqref="D6:D500" xr:uid="{00000000-0002-0000-1100-000002000000}">
      <formula1>M_VendorName</formula1>
      <formula2>0</formula2>
    </dataValidation>
    <dataValidation type="list" allowBlank="1" errorTitle="Not in master" error="Value must be chosen from the master list." promptTitle="Master-driven list" prompt="Select from L_FabricStage" sqref="E6:E500" xr:uid="{00000000-0002-0000-1100-000003000000}">
      <formula1>L_FabricStage</formula1>
      <formula2>0</formula2>
    </dataValidation>
    <dataValidation type="list" allowBlank="1" errorTitle="Not in master" error="Value must be chosen from the master list." promptTitle="Master-driven list" prompt="Select from L_UOM" sqref="G6:G500" xr:uid="{00000000-0002-0000-1100-000004000000}">
      <formula1>L_UOM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</sheetPr>
  <dimension ref="A1:L13"/>
  <sheetViews>
    <sheetView showGridLines="0" zoomScaleNormal="100" workbookViewId="0">
      <pane ySplit="6" topLeftCell="A7" activePane="bottomLeft" state="frozen"/>
      <selection pane="bottomLeft" activeCell="C6" sqref="C6"/>
    </sheetView>
  </sheetViews>
  <sheetFormatPr defaultColWidth="8.5546875" defaultRowHeight="14.4" x14ac:dyDescent="0.3"/>
  <cols>
    <col min="1" max="6" width="32" customWidth="1"/>
    <col min="7" max="7" width="27" customWidth="1"/>
    <col min="8" max="8" width="26" customWidth="1"/>
    <col min="9" max="9" width="23" customWidth="1"/>
    <col min="10" max="10" width="15" customWidth="1"/>
  </cols>
  <sheetData>
    <row r="1" spans="1:12" ht="21" customHeight="1" x14ac:dyDescent="0.3">
      <c r="A1" s="8" t="s">
        <v>713</v>
      </c>
      <c r="C1" s="77" t="s">
        <v>25</v>
      </c>
      <c r="D1" s="77"/>
      <c r="E1" s="77"/>
      <c r="F1" s="77"/>
      <c r="G1" s="77"/>
      <c r="H1" s="77"/>
      <c r="I1" s="77"/>
      <c r="J1" s="77"/>
      <c r="K1" s="77"/>
      <c r="L1" s="77"/>
    </row>
    <row r="2" spans="1:12" ht="21" customHeight="1" x14ac:dyDescent="0.3">
      <c r="A2" s="2"/>
      <c r="C2" s="78" t="s">
        <v>714</v>
      </c>
      <c r="D2" s="78"/>
      <c r="E2" s="78"/>
      <c r="F2" s="78"/>
      <c r="G2" s="78"/>
      <c r="H2" s="78"/>
      <c r="I2" s="78"/>
      <c r="J2" s="78"/>
      <c r="K2" s="78"/>
      <c r="L2" s="78"/>
    </row>
    <row r="3" spans="1:12" ht="12" customHeight="1" x14ac:dyDescent="0.3"/>
    <row r="4" spans="1:12" ht="30" customHeight="1" x14ac:dyDescent="0.3">
      <c r="A4" s="9" t="s">
        <v>493</v>
      </c>
      <c r="B4" s="9" t="s">
        <v>457</v>
      </c>
      <c r="C4" s="9" t="s">
        <v>491</v>
      </c>
      <c r="D4" s="9" t="s">
        <v>715</v>
      </c>
      <c r="E4" s="9" t="s">
        <v>716</v>
      </c>
      <c r="F4" s="9" t="s">
        <v>717</v>
      </c>
      <c r="G4" s="9" t="s">
        <v>718</v>
      </c>
      <c r="H4" s="9" t="s">
        <v>719</v>
      </c>
      <c r="I4" s="9" t="s">
        <v>720</v>
      </c>
    </row>
    <row r="5" spans="1:12" ht="14.25" customHeight="1" x14ac:dyDescent="0.3">
      <c r="A5" s="35" t="s">
        <v>270</v>
      </c>
      <c r="B5" s="35" t="s">
        <v>577</v>
      </c>
      <c r="C5" s="35" t="s">
        <v>270</v>
      </c>
      <c r="D5" s="36" t="s">
        <v>272</v>
      </c>
      <c r="E5" s="36" t="s">
        <v>272</v>
      </c>
      <c r="F5" s="36" t="s">
        <v>272</v>
      </c>
      <c r="G5" s="37" t="s">
        <v>323</v>
      </c>
      <c r="H5" s="37" t="s">
        <v>323</v>
      </c>
      <c r="I5" s="35" t="s">
        <v>270</v>
      </c>
    </row>
    <row r="6" spans="1:12" ht="28.5" customHeight="1" x14ac:dyDescent="0.3">
      <c r="E6" s="39" t="s">
        <v>131</v>
      </c>
      <c r="F6" s="39" t="s">
        <v>96</v>
      </c>
      <c r="G6" s="38" t="s">
        <v>519</v>
      </c>
    </row>
    <row r="7" spans="1:12" ht="14.25" customHeight="1" x14ac:dyDescent="0.3">
      <c r="A7" s="23">
        <v>46245</v>
      </c>
      <c r="B7" s="10" t="s">
        <v>469</v>
      </c>
      <c r="C7" s="10" t="s">
        <v>85</v>
      </c>
      <c r="D7" s="10" t="s">
        <v>131</v>
      </c>
      <c r="E7" s="10" t="s">
        <v>96</v>
      </c>
      <c r="F7" s="10" t="s">
        <v>93</v>
      </c>
      <c r="G7" s="10"/>
      <c r="H7" s="10"/>
      <c r="I7" s="23">
        <v>46246</v>
      </c>
    </row>
    <row r="8" spans="1:12" ht="14.25" customHeight="1" x14ac:dyDescent="0.3">
      <c r="A8" s="23">
        <v>46249</v>
      </c>
      <c r="B8" s="10" t="s">
        <v>473</v>
      </c>
      <c r="C8" s="10" t="s">
        <v>122</v>
      </c>
      <c r="D8" s="10" t="s">
        <v>131</v>
      </c>
      <c r="E8" s="10" t="s">
        <v>96</v>
      </c>
      <c r="F8" s="10" t="s">
        <v>93</v>
      </c>
      <c r="G8" s="10"/>
      <c r="H8" s="10"/>
      <c r="I8" s="23">
        <v>46250</v>
      </c>
    </row>
    <row r="9" spans="1:12" ht="14.25" customHeight="1" x14ac:dyDescent="0.3">
      <c r="A9" s="23">
        <v>46251</v>
      </c>
      <c r="B9" s="10" t="s">
        <v>474</v>
      </c>
      <c r="C9" s="10" t="s">
        <v>159</v>
      </c>
      <c r="D9" s="10" t="s">
        <v>131</v>
      </c>
      <c r="E9" s="10" t="s">
        <v>96</v>
      </c>
      <c r="F9" s="10" t="s">
        <v>128</v>
      </c>
      <c r="G9" s="10" t="s">
        <v>721</v>
      </c>
      <c r="H9" s="10" t="s">
        <v>722</v>
      </c>
      <c r="I9" s="11"/>
    </row>
    <row r="10" spans="1:12" ht="14.25" customHeight="1" x14ac:dyDescent="0.3">
      <c r="A10" s="23">
        <v>46252</v>
      </c>
      <c r="B10" s="10" t="s">
        <v>474</v>
      </c>
      <c r="C10" s="10" t="s">
        <v>159</v>
      </c>
      <c r="D10" s="10" t="s">
        <v>131</v>
      </c>
      <c r="E10" s="10" t="s">
        <v>96</v>
      </c>
      <c r="F10" s="10" t="s">
        <v>93</v>
      </c>
      <c r="G10" s="10"/>
      <c r="H10" s="10" t="s">
        <v>723</v>
      </c>
      <c r="I10" s="23">
        <v>46252</v>
      </c>
    </row>
    <row r="11" spans="1:12" ht="14.25" customHeight="1" x14ac:dyDescent="0.3">
      <c r="A11" s="23">
        <v>46255</v>
      </c>
      <c r="B11" s="10" t="s">
        <v>478</v>
      </c>
      <c r="C11" s="10" t="s">
        <v>185</v>
      </c>
      <c r="D11" s="10" t="s">
        <v>131</v>
      </c>
      <c r="E11" s="10" t="s">
        <v>96</v>
      </c>
      <c r="F11" s="10" t="s">
        <v>128</v>
      </c>
      <c r="G11" s="10" t="s">
        <v>724</v>
      </c>
      <c r="H11" s="10" t="s">
        <v>725</v>
      </c>
      <c r="I11" s="11"/>
    </row>
    <row r="12" spans="1:12" ht="14.25" customHeight="1" x14ac:dyDescent="0.3">
      <c r="A12" s="23">
        <v>46256</v>
      </c>
      <c r="B12" s="10" t="s">
        <v>478</v>
      </c>
      <c r="C12" s="10" t="s">
        <v>185</v>
      </c>
      <c r="D12" s="10" t="s">
        <v>131</v>
      </c>
      <c r="E12" s="10" t="s">
        <v>96</v>
      </c>
      <c r="F12" s="10" t="s">
        <v>93</v>
      </c>
      <c r="G12" s="10"/>
      <c r="H12" s="10" t="s">
        <v>723</v>
      </c>
      <c r="I12" s="23">
        <v>46257</v>
      </c>
    </row>
    <row r="13" spans="1:12" ht="14.25" customHeight="1" x14ac:dyDescent="0.3">
      <c r="A13" s="23">
        <v>46258</v>
      </c>
      <c r="B13" s="10" t="s">
        <v>481</v>
      </c>
      <c r="C13" s="10" t="s">
        <v>208</v>
      </c>
      <c r="D13" s="10" t="s">
        <v>131</v>
      </c>
      <c r="E13" s="10" t="s">
        <v>96</v>
      </c>
      <c r="F13" s="10" t="s">
        <v>91</v>
      </c>
      <c r="G13" s="10"/>
      <c r="H13" s="10" t="s">
        <v>726</v>
      </c>
      <c r="I13" s="11"/>
    </row>
  </sheetData>
  <mergeCells count="2">
    <mergeCell ref="C1:L1"/>
    <mergeCell ref="C2:L2"/>
  </mergeCells>
  <dataValidations count="4">
    <dataValidation type="list" allowBlank="1" errorTitle="Not in master" error="Value must be chosen from the master list." promptTitle="Master-driven list" prompt="Select from M_OrderNo" sqref="B7:B500" xr:uid="{00000000-0002-0000-1200-000000000000}">
      <formula1>M_OrderNo</formula1>
      <formula2>0</formula2>
    </dataValidation>
    <dataValidation type="list" allowBlank="1" errorTitle="Not in master" error="Value must be chosen from the master list." promptTitle="Master-driven list" prompt="Select from L_ContainerNo" sqref="C7:C500" xr:uid="{00000000-0002-0000-1200-000001000000}">
      <formula1>L_ContainerNo</formula1>
      <formula2>0</formula2>
    </dataValidation>
    <dataValidation type="list" allowBlank="1" errorTitle="Not in master" error="Value must be chosen from the master list." promptTitle="Master-driven list" prompt="Select from L_AuthorisedBy" sqref="D7:E500" xr:uid="{00000000-0002-0000-1200-000002000000}">
      <formula1>L_AuthorisedBy</formula1>
      <formula2>0</formula2>
    </dataValidation>
    <dataValidation type="list" allowBlank="1" errorTitle="Not in master" error="Value must be chosen from the master list." promptTitle="Master-driven list" prompt="Select from L_StatusApproval" sqref="F7:F500" xr:uid="{00000000-0002-0000-1200-000003000000}">
      <formula1>L_StatusApproval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</sheetPr>
  <dimension ref="A1:M13"/>
  <sheetViews>
    <sheetView zoomScaleNormal="100" workbookViewId="0">
      <pane ySplit="6" topLeftCell="A7" activePane="bottomLeft" state="frozen"/>
      <selection pane="bottomLeft" activeCell="H5" sqref="H5"/>
    </sheetView>
  </sheetViews>
  <sheetFormatPr defaultColWidth="8.5546875" defaultRowHeight="14.4" x14ac:dyDescent="0.3"/>
  <cols>
    <col min="1" max="1" width="21" customWidth="1"/>
    <col min="2" max="2" width="12" customWidth="1"/>
    <col min="3" max="4" width="13" customWidth="1"/>
    <col min="5" max="5" width="17" customWidth="1"/>
    <col min="6" max="6" width="21" customWidth="1"/>
    <col min="7" max="7" width="20" customWidth="1"/>
    <col min="8" max="8" width="15.6640625" customWidth="1"/>
    <col min="9" max="9" width="14" customWidth="1"/>
    <col min="10" max="10" width="13" customWidth="1"/>
    <col min="11" max="11" width="24" customWidth="1"/>
  </cols>
  <sheetData>
    <row r="1" spans="1:13" ht="21" customHeight="1" x14ac:dyDescent="0.3">
      <c r="A1" s="21" t="s">
        <v>727</v>
      </c>
      <c r="F1" s="77" t="s">
        <v>25</v>
      </c>
      <c r="G1" s="77"/>
      <c r="H1" s="77"/>
      <c r="I1" s="77"/>
      <c r="J1" s="77"/>
      <c r="M1" s="27"/>
    </row>
    <row r="2" spans="1:13" ht="21" customHeight="1" x14ac:dyDescent="0.3">
      <c r="F2" s="78" t="s">
        <v>728</v>
      </c>
      <c r="G2" s="78"/>
      <c r="H2" s="78"/>
      <c r="I2" s="78"/>
      <c r="J2" s="78"/>
    </row>
    <row r="4" spans="1:13" ht="15" customHeight="1" x14ac:dyDescent="0.3">
      <c r="A4" s="9" t="s">
        <v>493</v>
      </c>
      <c r="B4" s="9" t="s">
        <v>729</v>
      </c>
      <c r="C4" s="9" t="s">
        <v>457</v>
      </c>
      <c r="D4" s="9" t="s">
        <v>389</v>
      </c>
      <c r="E4" s="9" t="s">
        <v>730</v>
      </c>
      <c r="F4" s="9" t="s">
        <v>731</v>
      </c>
      <c r="G4" s="9" t="s">
        <v>732</v>
      </c>
      <c r="H4" s="9" t="s">
        <v>733</v>
      </c>
      <c r="I4" s="9" t="s">
        <v>491</v>
      </c>
      <c r="J4" s="9" t="s">
        <v>269</v>
      </c>
      <c r="K4" s="9" t="s">
        <v>322</v>
      </c>
    </row>
    <row r="5" spans="1:13" ht="14.25" customHeight="1" x14ac:dyDescent="0.3">
      <c r="A5" s="46" t="s">
        <v>270</v>
      </c>
      <c r="B5" s="29" t="s">
        <v>630</v>
      </c>
      <c r="C5" s="46" t="s">
        <v>734</v>
      </c>
      <c r="D5" s="46" t="s">
        <v>270</v>
      </c>
      <c r="E5" s="46" t="s">
        <v>270</v>
      </c>
      <c r="F5" s="48" t="s">
        <v>735</v>
      </c>
      <c r="G5" s="11"/>
      <c r="H5" s="29" t="s">
        <v>608</v>
      </c>
      <c r="I5" s="46" t="s">
        <v>270</v>
      </c>
      <c r="J5" s="28" t="s">
        <v>498</v>
      </c>
      <c r="K5" s="29" t="s">
        <v>546</v>
      </c>
    </row>
    <row r="6" spans="1:13" ht="28.5" customHeight="1" x14ac:dyDescent="0.3">
      <c r="B6" s="49" t="s">
        <v>272</v>
      </c>
      <c r="F6" s="50" t="s">
        <v>736</v>
      </c>
      <c r="G6" s="51"/>
    </row>
    <row r="7" spans="1:13" ht="14.25" customHeight="1" x14ac:dyDescent="0.3">
      <c r="A7" s="23">
        <v>46247</v>
      </c>
      <c r="B7" s="10" t="s">
        <v>594</v>
      </c>
      <c r="C7" s="10" t="s">
        <v>469</v>
      </c>
      <c r="D7" s="10" t="s">
        <v>400</v>
      </c>
      <c r="E7" s="13">
        <v>5000</v>
      </c>
      <c r="F7" s="10" t="s">
        <v>84</v>
      </c>
      <c r="G7" s="13">
        <v>2500</v>
      </c>
      <c r="H7" s="13">
        <v>2500</v>
      </c>
      <c r="I7" s="10" t="s">
        <v>85</v>
      </c>
      <c r="J7" s="10" t="s">
        <v>162</v>
      </c>
      <c r="K7" s="10" t="s">
        <v>737</v>
      </c>
    </row>
    <row r="8" spans="1:13" ht="14.25" customHeight="1" x14ac:dyDescent="0.3">
      <c r="A8" s="23">
        <v>46248</v>
      </c>
      <c r="B8" s="10" t="s">
        <v>738</v>
      </c>
      <c r="C8" s="10" t="s">
        <v>469</v>
      </c>
      <c r="D8" s="10" t="s">
        <v>400</v>
      </c>
      <c r="E8" s="13">
        <v>5000</v>
      </c>
      <c r="F8" s="10" t="s">
        <v>84</v>
      </c>
      <c r="G8" s="13">
        <v>2500</v>
      </c>
      <c r="H8" s="13">
        <v>2500</v>
      </c>
      <c r="I8" s="10" t="s">
        <v>85</v>
      </c>
      <c r="J8" s="10" t="s">
        <v>162</v>
      </c>
      <c r="K8" s="10" t="s">
        <v>739</v>
      </c>
    </row>
    <row r="9" spans="1:13" ht="14.25" customHeight="1" x14ac:dyDescent="0.3">
      <c r="A9" s="23">
        <v>46250</v>
      </c>
      <c r="B9" s="10" t="s">
        <v>740</v>
      </c>
      <c r="C9" s="10" t="s">
        <v>473</v>
      </c>
      <c r="D9" s="10" t="s">
        <v>404</v>
      </c>
      <c r="E9" s="13">
        <v>7000</v>
      </c>
      <c r="F9" s="10" t="s">
        <v>121</v>
      </c>
      <c r="G9" s="13">
        <v>3500</v>
      </c>
      <c r="H9" s="13">
        <v>3500</v>
      </c>
      <c r="I9" s="10" t="s">
        <v>122</v>
      </c>
      <c r="J9" s="10" t="s">
        <v>162</v>
      </c>
      <c r="K9" s="10" t="s">
        <v>737</v>
      </c>
    </row>
    <row r="10" spans="1:13" ht="14.25" customHeight="1" x14ac:dyDescent="0.3">
      <c r="A10" s="23">
        <v>46252</v>
      </c>
      <c r="B10" s="10" t="s">
        <v>741</v>
      </c>
      <c r="C10" s="10" t="s">
        <v>473</v>
      </c>
      <c r="D10" s="10" t="s">
        <v>404</v>
      </c>
      <c r="E10" s="13">
        <v>7000</v>
      </c>
      <c r="F10" s="10" t="s">
        <v>121</v>
      </c>
      <c r="G10" s="13">
        <v>3500</v>
      </c>
      <c r="H10" s="13">
        <v>3500</v>
      </c>
      <c r="I10" s="10" t="s">
        <v>122</v>
      </c>
      <c r="J10" s="10" t="s">
        <v>126</v>
      </c>
      <c r="K10" s="10" t="s">
        <v>739</v>
      </c>
    </row>
    <row r="11" spans="1:13" ht="14.25" customHeight="1" x14ac:dyDescent="0.3">
      <c r="A11" s="23">
        <v>46253</v>
      </c>
      <c r="B11" s="10" t="s">
        <v>742</v>
      </c>
      <c r="C11" s="10" t="s">
        <v>474</v>
      </c>
      <c r="D11" s="10" t="s">
        <v>407</v>
      </c>
      <c r="E11" s="13">
        <v>4000</v>
      </c>
      <c r="F11" s="10" t="s">
        <v>158</v>
      </c>
      <c r="G11" s="13">
        <v>2000</v>
      </c>
      <c r="H11" s="13">
        <v>2000</v>
      </c>
      <c r="I11" s="10" t="s">
        <v>159</v>
      </c>
      <c r="J11" s="10" t="s">
        <v>126</v>
      </c>
      <c r="K11" s="10" t="s">
        <v>743</v>
      </c>
    </row>
    <row r="12" spans="1:13" ht="14.25" customHeight="1" x14ac:dyDescent="0.3">
      <c r="A12" s="23">
        <v>46256</v>
      </c>
      <c r="B12" s="10" t="s">
        <v>744</v>
      </c>
      <c r="C12" s="10" t="s">
        <v>478</v>
      </c>
      <c r="D12" s="10" t="s">
        <v>411</v>
      </c>
      <c r="E12" s="13">
        <v>10000</v>
      </c>
      <c r="F12" s="10" t="s">
        <v>184</v>
      </c>
      <c r="G12" s="13">
        <v>5000</v>
      </c>
      <c r="H12" s="13">
        <v>5000</v>
      </c>
      <c r="I12" s="10" t="s">
        <v>185</v>
      </c>
      <c r="J12" s="10" t="s">
        <v>126</v>
      </c>
      <c r="K12" s="10" t="s">
        <v>745</v>
      </c>
    </row>
    <row r="13" spans="1:13" ht="14.25" customHeight="1" x14ac:dyDescent="0.3">
      <c r="A13" s="23">
        <v>46259</v>
      </c>
      <c r="B13" s="10" t="s">
        <v>746</v>
      </c>
      <c r="C13" s="10" t="s">
        <v>481</v>
      </c>
      <c r="D13" s="10" t="s">
        <v>418</v>
      </c>
      <c r="E13" s="13">
        <v>6000</v>
      </c>
      <c r="F13" s="10" t="s">
        <v>84</v>
      </c>
      <c r="G13" s="13">
        <v>3000</v>
      </c>
      <c r="H13" s="13">
        <v>3000</v>
      </c>
      <c r="I13" s="10" t="s">
        <v>208</v>
      </c>
      <c r="J13" s="10" t="s">
        <v>91</v>
      </c>
      <c r="K13" s="10" t="s">
        <v>747</v>
      </c>
    </row>
  </sheetData>
  <mergeCells count="2">
    <mergeCell ref="F1:J1"/>
    <mergeCell ref="F2:J2"/>
  </mergeCells>
  <dataValidations count="5">
    <dataValidation type="list" allowBlank="1" errorTitle="Not in master" error="Value must be chosen from the master list." promptTitle="Master-driven list" prompt="Select from M_OrderNo" sqref="C7:C500" xr:uid="{00000000-0002-0000-1300-000000000000}">
      <formula1>M_OrderNo</formula1>
      <formula2>0</formula2>
    </dataValidation>
    <dataValidation type="list" allowBlank="1" errorTitle="Not in master" error="Value must be chosen from the master list." promptTitle="Master-driven list" prompt="Select from M_StyleNo" sqref="D7:D500" xr:uid="{00000000-0002-0000-1300-000001000000}">
      <formula1>M_StyleNo</formula1>
      <formula2>0</formula2>
    </dataValidation>
    <dataValidation type="list" allowBlank="1" errorTitle="Not in master" error="Value must be chosen from the master list." promptTitle="Master-driven list" prompt="Select from L_StitchingUnit" sqref="F7:F500" xr:uid="{00000000-0002-0000-1300-000002000000}">
      <formula1>L_StitchingUnit</formula1>
      <formula2>0</formula2>
    </dataValidation>
    <dataValidation type="list" allowBlank="1" errorTitle="Not in master" error="Value must be chosen from the master list." promptTitle="Master-driven list" prompt="Select from L_ContainerNo" sqref="I7:I500" xr:uid="{00000000-0002-0000-1300-000003000000}">
      <formula1>L_ContainerNo</formula1>
      <formula2>0</formula2>
    </dataValidation>
    <dataValidation type="list" allowBlank="1" errorTitle="Not in master" error="Value must be chosen from the master list." promptTitle="Master-driven list" prompt="Select from L_StatusGeneral" sqref="J7:J500" xr:uid="{00000000-0002-0000-1300-000004000000}">
      <formula1>L_StatusGeneral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50"/>
  </sheetPr>
  <dimension ref="A1:J13"/>
  <sheetViews>
    <sheetView zoomScaleNormal="100" workbookViewId="0">
      <pane ySplit="6" topLeftCell="A7" activePane="bottomLeft" state="frozen"/>
      <selection pane="bottomLeft" activeCell="I10" sqref="I10"/>
    </sheetView>
  </sheetViews>
  <sheetFormatPr defaultColWidth="8.5546875" defaultRowHeight="14.4" x14ac:dyDescent="0.3"/>
  <cols>
    <col min="1" max="2" width="21" customWidth="1"/>
    <col min="3" max="3" width="10.5546875" customWidth="1"/>
    <col min="4" max="4" width="24" customWidth="1"/>
    <col min="5" max="5" width="18" customWidth="1"/>
    <col min="6" max="7" width="13.6640625" customWidth="1"/>
    <col min="8" max="8" width="25" customWidth="1"/>
    <col min="9" max="9" width="13.5546875" customWidth="1"/>
    <col min="10" max="10" width="10.5546875" customWidth="1"/>
  </cols>
  <sheetData>
    <row r="1" spans="1:10" ht="21" customHeight="1" x14ac:dyDescent="0.3">
      <c r="A1" s="21" t="s">
        <v>748</v>
      </c>
      <c r="D1" s="77" t="s">
        <v>25</v>
      </c>
      <c r="E1" s="77"/>
      <c r="F1" s="77"/>
      <c r="G1" s="77"/>
      <c r="H1" s="77"/>
      <c r="J1" s="27"/>
    </row>
    <row r="2" spans="1:10" ht="21" customHeight="1" x14ac:dyDescent="0.3">
      <c r="D2" s="78" t="s">
        <v>749</v>
      </c>
      <c r="E2" s="78"/>
      <c r="F2" s="78"/>
      <c r="G2" s="78"/>
      <c r="H2" s="78"/>
    </row>
    <row r="3" spans="1:10" ht="18" customHeight="1" x14ac:dyDescent="0.35">
      <c r="H3" s="14"/>
      <c r="I3" s="14"/>
      <c r="J3" s="14"/>
    </row>
    <row r="4" spans="1:10" ht="15" customHeight="1" x14ac:dyDescent="0.3">
      <c r="A4" s="9" t="s">
        <v>750</v>
      </c>
      <c r="B4" s="9" t="s">
        <v>493</v>
      </c>
      <c r="C4" s="9" t="s">
        <v>457</v>
      </c>
      <c r="D4" s="9" t="s">
        <v>389</v>
      </c>
      <c r="E4" s="9" t="s">
        <v>494</v>
      </c>
      <c r="F4" s="9" t="s">
        <v>751</v>
      </c>
      <c r="G4" s="9" t="s">
        <v>752</v>
      </c>
      <c r="H4" s="9" t="s">
        <v>322</v>
      </c>
    </row>
    <row r="5" spans="1:10" ht="14.25" customHeight="1" x14ac:dyDescent="0.3">
      <c r="A5" s="16" t="s">
        <v>270</v>
      </c>
      <c r="B5" s="16" t="s">
        <v>270</v>
      </c>
      <c r="C5" s="16" t="s">
        <v>270</v>
      </c>
      <c r="D5" s="18" t="s">
        <v>272</v>
      </c>
      <c r="E5" s="17" t="s">
        <v>271</v>
      </c>
      <c r="F5" s="17" t="s">
        <v>271</v>
      </c>
      <c r="G5" s="16" t="s">
        <v>270</v>
      </c>
      <c r="H5" s="17" t="s">
        <v>323</v>
      </c>
    </row>
    <row r="6" spans="1:10" ht="14.25" customHeight="1" x14ac:dyDescent="0.3">
      <c r="C6" s="49" t="s">
        <v>498</v>
      </c>
      <c r="D6" s="21" t="s">
        <v>468</v>
      </c>
    </row>
    <row r="7" spans="1:10" ht="14.25" customHeight="1" x14ac:dyDescent="0.3">
      <c r="A7" s="10" t="s">
        <v>84</v>
      </c>
      <c r="B7" s="23">
        <v>46251</v>
      </c>
      <c r="C7" s="10" t="s">
        <v>469</v>
      </c>
      <c r="D7" s="10" t="s">
        <v>400</v>
      </c>
      <c r="E7" s="13">
        <v>2500</v>
      </c>
      <c r="F7" s="13">
        <v>2380</v>
      </c>
      <c r="G7" s="47">
        <f t="shared" ref="G7:G13" si="0">E7-F7</f>
        <v>120</v>
      </c>
      <c r="H7" s="10" t="s">
        <v>753</v>
      </c>
    </row>
    <row r="8" spans="1:10" ht="14.25" customHeight="1" x14ac:dyDescent="0.3">
      <c r="A8" s="10" t="s">
        <v>84</v>
      </c>
      <c r="B8" s="23">
        <v>46252</v>
      </c>
      <c r="C8" s="10" t="s">
        <v>469</v>
      </c>
      <c r="D8" s="10" t="s">
        <v>400</v>
      </c>
      <c r="E8" s="13">
        <v>2500</v>
      </c>
      <c r="F8" s="13">
        <v>2450</v>
      </c>
      <c r="G8" s="47">
        <f t="shared" si="0"/>
        <v>50</v>
      </c>
      <c r="H8" s="10"/>
    </row>
    <row r="9" spans="1:10" ht="14.25" customHeight="1" x14ac:dyDescent="0.3">
      <c r="A9" s="10" t="s">
        <v>121</v>
      </c>
      <c r="B9" s="23">
        <v>46254</v>
      </c>
      <c r="C9" s="10" t="s">
        <v>473</v>
      </c>
      <c r="D9" s="10" t="s">
        <v>404</v>
      </c>
      <c r="E9" s="13">
        <v>3500</v>
      </c>
      <c r="F9" s="13">
        <v>3320</v>
      </c>
      <c r="G9" s="47">
        <f t="shared" si="0"/>
        <v>180</v>
      </c>
      <c r="H9" s="10" t="s">
        <v>754</v>
      </c>
    </row>
    <row r="10" spans="1:10" ht="14.25" customHeight="1" x14ac:dyDescent="0.3">
      <c r="A10" s="10" t="s">
        <v>121</v>
      </c>
      <c r="B10" s="23">
        <v>46256</v>
      </c>
      <c r="C10" s="10" t="s">
        <v>473</v>
      </c>
      <c r="D10" s="10" t="s">
        <v>404</v>
      </c>
      <c r="E10" s="13">
        <v>3500</v>
      </c>
      <c r="F10" s="13">
        <v>3410</v>
      </c>
      <c r="G10" s="47">
        <f t="shared" si="0"/>
        <v>90</v>
      </c>
      <c r="H10" s="10"/>
    </row>
    <row r="11" spans="1:10" ht="14.25" customHeight="1" x14ac:dyDescent="0.3">
      <c r="A11" s="10" t="s">
        <v>158</v>
      </c>
      <c r="B11" s="23">
        <v>46257</v>
      </c>
      <c r="C11" s="10" t="s">
        <v>474</v>
      </c>
      <c r="D11" s="10" t="s">
        <v>407</v>
      </c>
      <c r="E11" s="13">
        <v>2000</v>
      </c>
      <c r="F11" s="13">
        <v>1860</v>
      </c>
      <c r="G11" s="47">
        <f t="shared" si="0"/>
        <v>140</v>
      </c>
      <c r="H11" s="10" t="s">
        <v>755</v>
      </c>
    </row>
    <row r="12" spans="1:10" ht="14.25" customHeight="1" x14ac:dyDescent="0.3">
      <c r="A12" s="10" t="s">
        <v>184</v>
      </c>
      <c r="B12" s="23">
        <v>46259</v>
      </c>
      <c r="C12" s="10" t="s">
        <v>478</v>
      </c>
      <c r="D12" s="10" t="s">
        <v>411</v>
      </c>
      <c r="E12" s="13">
        <v>5000</v>
      </c>
      <c r="F12" s="13">
        <v>4780</v>
      </c>
      <c r="G12" s="47">
        <f t="shared" si="0"/>
        <v>220</v>
      </c>
      <c r="H12" s="10" t="s">
        <v>756</v>
      </c>
    </row>
    <row r="13" spans="1:10" ht="14.25" customHeight="1" x14ac:dyDescent="0.3">
      <c r="A13" s="10" t="s">
        <v>84</v>
      </c>
      <c r="B13" s="23">
        <v>46261</v>
      </c>
      <c r="C13" s="10" t="s">
        <v>481</v>
      </c>
      <c r="D13" s="10" t="s">
        <v>418</v>
      </c>
      <c r="E13" s="13">
        <v>3000</v>
      </c>
      <c r="F13" s="13">
        <v>2890</v>
      </c>
      <c r="G13" s="47">
        <f t="shared" si="0"/>
        <v>110</v>
      </c>
      <c r="H13" s="10" t="s">
        <v>757</v>
      </c>
    </row>
  </sheetData>
  <mergeCells count="2">
    <mergeCell ref="D1:H1"/>
    <mergeCell ref="D2:H2"/>
  </mergeCells>
  <dataValidations count="3">
    <dataValidation type="list" allowBlank="1" errorTitle="Not in master" error="Value must be chosen from the master list." promptTitle="Master-driven list" prompt="Select from L_StitchingUnit" sqref="A7:A500" xr:uid="{00000000-0002-0000-1400-000000000000}">
      <formula1>L_StitchingUnit</formula1>
      <formula2>0</formula2>
    </dataValidation>
    <dataValidation type="list" allowBlank="1" errorTitle="Not in master" error="Value must be chosen from the master list." promptTitle="Master-driven list" prompt="Select from M_OrderNo" sqref="C7:C500" xr:uid="{00000000-0002-0000-1400-000001000000}">
      <formula1>M_OrderNo</formula1>
      <formula2>0</formula2>
    </dataValidation>
    <dataValidation type="list" allowBlank="1" errorTitle="Not in master" error="Value must be chosen from the master list." promptTitle="Master-driven list" prompt="Select from M_StyleNo" sqref="D7:D500" xr:uid="{00000000-0002-0000-1400-000002000000}">
      <formula1>M_StyleNo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</sheetPr>
  <dimension ref="A1:N13"/>
  <sheetViews>
    <sheetView zoomScaleNormal="100" workbookViewId="0">
      <pane ySplit="6" topLeftCell="A7" activePane="bottomLeft" state="frozen"/>
      <selection pane="bottomLeft" activeCell="G7" sqref="G7"/>
    </sheetView>
  </sheetViews>
  <sheetFormatPr defaultColWidth="8.5546875" defaultRowHeight="14.4" x14ac:dyDescent="0.3"/>
  <cols>
    <col min="1" max="1" width="21" customWidth="1"/>
    <col min="2" max="3" width="10.5546875" customWidth="1"/>
    <col min="4" max="5" width="13" customWidth="1"/>
    <col min="6" max="6" width="25" customWidth="1"/>
    <col min="7" max="12" width="13" customWidth="1"/>
  </cols>
  <sheetData>
    <row r="1" spans="1:14" ht="21" customHeight="1" x14ac:dyDescent="0.3">
      <c r="A1" s="21" t="s">
        <v>748</v>
      </c>
      <c r="F1" s="77" t="s">
        <v>25</v>
      </c>
      <c r="G1" s="77"/>
      <c r="H1" s="77"/>
      <c r="N1" s="27"/>
    </row>
    <row r="2" spans="1:14" ht="21" customHeight="1" x14ac:dyDescent="0.3">
      <c r="F2" s="78" t="s">
        <v>758</v>
      </c>
      <c r="G2" s="78"/>
      <c r="H2" s="78"/>
    </row>
    <row r="3" spans="1:14" ht="21" customHeight="1" x14ac:dyDescent="0.3">
      <c r="F3" s="52"/>
      <c r="G3" s="45"/>
      <c r="H3" s="45"/>
    </row>
    <row r="4" spans="1:14" s="19" customFormat="1" ht="15" customHeight="1" x14ac:dyDescent="0.3">
      <c r="A4" s="9" t="s">
        <v>493</v>
      </c>
      <c r="B4" s="9" t="s">
        <v>759</v>
      </c>
      <c r="C4" s="9" t="s">
        <v>760</v>
      </c>
      <c r="D4" s="9">
        <v>10</v>
      </c>
      <c r="E4" s="9">
        <v>11</v>
      </c>
      <c r="F4" s="9">
        <v>12</v>
      </c>
      <c r="G4" s="9">
        <v>1</v>
      </c>
      <c r="H4" s="9">
        <v>2</v>
      </c>
      <c r="I4" s="9">
        <v>3</v>
      </c>
      <c r="J4" s="9">
        <v>4</v>
      </c>
      <c r="K4" s="9" t="s">
        <v>761</v>
      </c>
      <c r="L4" s="53">
        <v>0.27083333333333298</v>
      </c>
    </row>
    <row r="5" spans="1:14" s="19" customFormat="1" ht="14.25" customHeight="1" x14ac:dyDescent="0.3">
      <c r="A5" s="54" t="s">
        <v>762</v>
      </c>
      <c r="B5" s="55" t="s">
        <v>272</v>
      </c>
      <c r="C5" s="55" t="s">
        <v>272</v>
      </c>
      <c r="D5" s="56" t="s">
        <v>271</v>
      </c>
      <c r="E5" s="56" t="s">
        <v>271</v>
      </c>
      <c r="F5" s="56" t="s">
        <v>271</v>
      </c>
      <c r="G5" s="56" t="s">
        <v>271</v>
      </c>
      <c r="H5" s="56" t="s">
        <v>271</v>
      </c>
      <c r="I5" s="56" t="s">
        <v>271</v>
      </c>
      <c r="J5" s="56" t="s">
        <v>271</v>
      </c>
      <c r="K5" s="56" t="s">
        <v>271</v>
      </c>
      <c r="L5" s="56" t="s">
        <v>271</v>
      </c>
    </row>
    <row r="6" spans="1:14" ht="14.25" customHeight="1" x14ac:dyDescent="0.3">
      <c r="A6" s="11"/>
      <c r="B6" s="11"/>
      <c r="C6" s="48" t="s">
        <v>763</v>
      </c>
      <c r="D6" s="82" t="s">
        <v>764</v>
      </c>
      <c r="E6" s="82"/>
      <c r="F6" s="82"/>
      <c r="G6" s="82"/>
      <c r="H6" s="82"/>
      <c r="I6" s="82"/>
      <c r="J6" s="82"/>
      <c r="K6" s="82"/>
      <c r="L6" s="82"/>
    </row>
    <row r="7" spans="1:14" ht="14.25" customHeight="1" x14ac:dyDescent="0.3">
      <c r="A7" s="23">
        <v>46251</v>
      </c>
      <c r="B7" s="10" t="s">
        <v>469</v>
      </c>
      <c r="C7" s="10" t="s">
        <v>434</v>
      </c>
      <c r="D7" s="13">
        <v>42</v>
      </c>
      <c r="E7" s="13">
        <v>45</v>
      </c>
      <c r="F7" s="13">
        <v>40</v>
      </c>
      <c r="G7" s="13">
        <v>38</v>
      </c>
      <c r="H7" s="13">
        <v>44</v>
      </c>
      <c r="I7" s="13">
        <v>46</v>
      </c>
      <c r="J7" s="13">
        <v>43</v>
      </c>
      <c r="K7" s="13">
        <v>40</v>
      </c>
      <c r="L7" s="13">
        <v>35</v>
      </c>
    </row>
    <row r="8" spans="1:14" ht="14.25" customHeight="1" x14ac:dyDescent="0.3">
      <c r="A8" s="23">
        <v>46252</v>
      </c>
      <c r="B8" s="10" t="s">
        <v>469</v>
      </c>
      <c r="C8" s="10" t="s">
        <v>434</v>
      </c>
      <c r="D8" s="13">
        <v>44</v>
      </c>
      <c r="E8" s="13">
        <v>46</v>
      </c>
      <c r="F8" s="13">
        <v>43</v>
      </c>
      <c r="G8" s="13">
        <v>40</v>
      </c>
      <c r="H8" s="13">
        <v>45</v>
      </c>
      <c r="I8" s="13">
        <v>47</v>
      </c>
      <c r="J8" s="13">
        <v>44</v>
      </c>
      <c r="K8" s="13">
        <v>42</v>
      </c>
      <c r="L8" s="13">
        <v>36</v>
      </c>
    </row>
    <row r="9" spans="1:14" ht="14.25" customHeight="1" x14ac:dyDescent="0.3">
      <c r="A9" s="23">
        <v>46254</v>
      </c>
      <c r="B9" s="10" t="s">
        <v>473</v>
      </c>
      <c r="C9" s="10" t="s">
        <v>435</v>
      </c>
      <c r="D9" s="13">
        <v>38</v>
      </c>
      <c r="E9" s="13">
        <v>41</v>
      </c>
      <c r="F9" s="13">
        <v>39</v>
      </c>
      <c r="G9" s="13">
        <v>36</v>
      </c>
      <c r="H9" s="13">
        <v>40</v>
      </c>
      <c r="I9" s="13">
        <v>42</v>
      </c>
      <c r="J9" s="13">
        <v>41</v>
      </c>
      <c r="K9" s="13">
        <v>38</v>
      </c>
      <c r="L9" s="13">
        <v>33</v>
      </c>
    </row>
    <row r="10" spans="1:14" ht="14.25" customHeight="1" x14ac:dyDescent="0.3">
      <c r="A10" s="23">
        <v>46256</v>
      </c>
      <c r="B10" s="10" t="s">
        <v>473</v>
      </c>
      <c r="C10" s="10" t="s">
        <v>435</v>
      </c>
      <c r="D10" s="13">
        <v>40</v>
      </c>
      <c r="E10" s="13">
        <v>43</v>
      </c>
      <c r="F10" s="13">
        <v>41</v>
      </c>
      <c r="G10" s="13">
        <v>38</v>
      </c>
      <c r="H10" s="13">
        <v>42</v>
      </c>
      <c r="I10" s="13">
        <v>44</v>
      </c>
      <c r="J10" s="13">
        <v>42</v>
      </c>
      <c r="K10" s="13">
        <v>40</v>
      </c>
      <c r="L10" s="13">
        <v>34</v>
      </c>
    </row>
    <row r="11" spans="1:14" ht="14.25" customHeight="1" x14ac:dyDescent="0.3">
      <c r="A11" s="23">
        <v>46257</v>
      </c>
      <c r="B11" s="10" t="s">
        <v>474</v>
      </c>
      <c r="C11" s="10" t="s">
        <v>434</v>
      </c>
      <c r="D11" s="13">
        <v>30</v>
      </c>
      <c r="E11" s="13">
        <v>33</v>
      </c>
      <c r="F11" s="13">
        <v>31</v>
      </c>
      <c r="G11" s="13">
        <v>29</v>
      </c>
      <c r="H11" s="13">
        <v>32</v>
      </c>
      <c r="I11" s="13">
        <v>34</v>
      </c>
      <c r="J11" s="13">
        <v>33</v>
      </c>
      <c r="K11" s="13">
        <v>31</v>
      </c>
      <c r="L11" s="13">
        <v>27</v>
      </c>
    </row>
    <row r="12" spans="1:14" ht="14.25" customHeight="1" x14ac:dyDescent="0.3">
      <c r="A12" s="23">
        <v>46259</v>
      </c>
      <c r="B12" s="10" t="s">
        <v>478</v>
      </c>
      <c r="C12" s="10" t="s">
        <v>435</v>
      </c>
      <c r="D12" s="13">
        <v>55</v>
      </c>
      <c r="E12" s="13">
        <v>58</v>
      </c>
      <c r="F12" s="13">
        <v>56</v>
      </c>
      <c r="G12" s="13">
        <v>52</v>
      </c>
      <c r="H12" s="13">
        <v>57</v>
      </c>
      <c r="I12" s="13">
        <v>59</v>
      </c>
      <c r="J12" s="13">
        <v>56</v>
      </c>
      <c r="K12" s="13">
        <v>54</v>
      </c>
      <c r="L12" s="13">
        <v>48</v>
      </c>
    </row>
    <row r="13" spans="1:14" ht="14.25" customHeight="1" x14ac:dyDescent="0.3">
      <c r="A13" s="23">
        <v>46261</v>
      </c>
      <c r="B13" s="10" t="s">
        <v>481</v>
      </c>
      <c r="C13" s="10" t="s">
        <v>434</v>
      </c>
      <c r="D13" s="13">
        <v>41</v>
      </c>
      <c r="E13" s="13">
        <v>44</v>
      </c>
      <c r="F13" s="13">
        <v>42</v>
      </c>
      <c r="G13" s="13">
        <v>39</v>
      </c>
      <c r="H13" s="13">
        <v>43</v>
      </c>
      <c r="I13" s="13">
        <v>45</v>
      </c>
      <c r="J13" s="13">
        <v>43</v>
      </c>
      <c r="K13" s="13">
        <v>41</v>
      </c>
      <c r="L13" s="13">
        <v>35</v>
      </c>
    </row>
  </sheetData>
  <mergeCells count="3">
    <mergeCell ref="F1:H1"/>
    <mergeCell ref="F2:H2"/>
    <mergeCell ref="D6:L6"/>
  </mergeCells>
  <dataValidations count="2">
    <dataValidation type="list" allowBlank="1" errorTitle="Not in master" error="Value must be chosen from the master list." promptTitle="Master-driven list" prompt="Select from M_OrderNo" sqref="B7:B500" xr:uid="{00000000-0002-0000-1500-000000000000}">
      <formula1>M_OrderNo</formula1>
      <formula2>0</formula2>
    </dataValidation>
    <dataValidation type="list" allowBlank="1" errorTitle="Not in master" error="Value must be chosen from the master list." promptTitle="Master-driven list" prompt="Select from M_EmpID" sqref="C7:C500" xr:uid="{00000000-0002-0000-1500-000001000000}">
      <formula1>M_EmpID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50"/>
  </sheetPr>
  <dimension ref="A1:L13"/>
  <sheetViews>
    <sheetView zoomScaleNormal="100" workbookViewId="0">
      <pane ySplit="6" topLeftCell="A7" activePane="bottomLeft" state="frozen"/>
      <selection pane="bottomLeft" activeCell="I9" sqref="I9"/>
    </sheetView>
  </sheetViews>
  <sheetFormatPr defaultColWidth="8.5546875" defaultRowHeight="14.4" x14ac:dyDescent="0.3"/>
  <cols>
    <col min="1" max="1" width="21" customWidth="1"/>
    <col min="2" max="2" width="13" customWidth="1"/>
    <col min="3" max="3" width="21" customWidth="1"/>
    <col min="4" max="4" width="31" customWidth="1"/>
    <col min="5" max="5" width="13" customWidth="1"/>
    <col min="6" max="6" width="17.44140625" customWidth="1"/>
    <col min="7" max="7" width="13" customWidth="1"/>
    <col min="8" max="8" width="20" customWidth="1"/>
    <col min="9" max="9" width="18" customWidth="1"/>
    <col min="10" max="10" width="20" customWidth="1"/>
  </cols>
  <sheetData>
    <row r="1" spans="1:12" ht="21" customHeight="1" x14ac:dyDescent="0.3">
      <c r="A1" s="21" t="s">
        <v>765</v>
      </c>
      <c r="D1" s="77" t="s">
        <v>25</v>
      </c>
      <c r="E1" s="77"/>
      <c r="F1" s="77"/>
      <c r="G1" s="77"/>
      <c r="L1" s="27"/>
    </row>
    <row r="2" spans="1:12" ht="21" customHeight="1" x14ac:dyDescent="0.3">
      <c r="D2" s="78" t="s">
        <v>766</v>
      </c>
      <c r="E2" s="78"/>
      <c r="F2" s="78"/>
      <c r="G2" s="78"/>
    </row>
    <row r="4" spans="1:12" ht="15" customHeight="1" x14ac:dyDescent="0.3">
      <c r="A4" s="9" t="s">
        <v>493</v>
      </c>
      <c r="B4" s="9" t="s">
        <v>457</v>
      </c>
      <c r="C4" s="9" t="s">
        <v>767</v>
      </c>
      <c r="D4" s="9" t="s">
        <v>768</v>
      </c>
      <c r="E4" s="9" t="s">
        <v>389</v>
      </c>
      <c r="F4" s="9" t="s">
        <v>55</v>
      </c>
      <c r="G4" s="9" t="s">
        <v>769</v>
      </c>
      <c r="H4" s="9" t="s">
        <v>770</v>
      </c>
      <c r="I4" s="9" t="s">
        <v>771</v>
      </c>
      <c r="J4" s="9" t="s">
        <v>772</v>
      </c>
    </row>
    <row r="5" spans="1:12" ht="14.25" customHeight="1" x14ac:dyDescent="0.3">
      <c r="A5" s="57" t="s">
        <v>270</v>
      </c>
      <c r="B5" s="49" t="s">
        <v>498</v>
      </c>
      <c r="C5" s="49" t="s">
        <v>498</v>
      </c>
      <c r="D5" s="49" t="s">
        <v>498</v>
      </c>
      <c r="E5" s="49" t="s">
        <v>498</v>
      </c>
      <c r="F5" s="49" t="s">
        <v>498</v>
      </c>
      <c r="G5" s="58" t="s">
        <v>608</v>
      </c>
      <c r="H5" s="58" t="s">
        <v>608</v>
      </c>
      <c r="I5" s="49" t="s">
        <v>498</v>
      </c>
      <c r="J5" s="49" t="s">
        <v>498</v>
      </c>
    </row>
    <row r="7" spans="1:12" ht="14.25" customHeight="1" x14ac:dyDescent="0.3">
      <c r="A7" s="23">
        <v>46251</v>
      </c>
      <c r="B7" s="10" t="s">
        <v>469</v>
      </c>
      <c r="C7" s="10" t="s">
        <v>84</v>
      </c>
      <c r="D7" s="10" t="s">
        <v>374</v>
      </c>
      <c r="E7" s="10" t="s">
        <v>400</v>
      </c>
      <c r="F7" s="10" t="s">
        <v>130</v>
      </c>
      <c r="G7" s="10" t="s">
        <v>81</v>
      </c>
      <c r="H7" s="13">
        <v>200</v>
      </c>
      <c r="I7" s="10" t="s">
        <v>161</v>
      </c>
      <c r="J7" s="10" t="s">
        <v>100</v>
      </c>
    </row>
    <row r="8" spans="1:12" ht="14.25" customHeight="1" x14ac:dyDescent="0.3">
      <c r="A8" s="23">
        <v>46252</v>
      </c>
      <c r="B8" s="10" t="s">
        <v>469</v>
      </c>
      <c r="C8" s="10" t="s">
        <v>84</v>
      </c>
      <c r="D8" s="10" t="s">
        <v>374</v>
      </c>
      <c r="E8" s="10" t="s">
        <v>400</v>
      </c>
      <c r="F8" s="10" t="s">
        <v>95</v>
      </c>
      <c r="G8" s="10" t="s">
        <v>81</v>
      </c>
      <c r="H8" s="13">
        <v>180</v>
      </c>
      <c r="I8" s="10" t="s">
        <v>255</v>
      </c>
      <c r="J8" s="10" t="s">
        <v>167</v>
      </c>
    </row>
    <row r="9" spans="1:12" ht="14.25" customHeight="1" x14ac:dyDescent="0.3">
      <c r="A9" s="23">
        <v>46254</v>
      </c>
      <c r="B9" s="10" t="s">
        <v>473</v>
      </c>
      <c r="C9" s="10" t="s">
        <v>121</v>
      </c>
      <c r="D9" s="10" t="s">
        <v>436</v>
      </c>
      <c r="E9" s="10" t="s">
        <v>404</v>
      </c>
      <c r="F9" s="10" t="s">
        <v>164</v>
      </c>
      <c r="G9" s="10" t="s">
        <v>81</v>
      </c>
      <c r="H9" s="13">
        <v>220</v>
      </c>
      <c r="I9" s="10" t="s">
        <v>90</v>
      </c>
      <c r="J9" s="10" t="s">
        <v>100</v>
      </c>
    </row>
    <row r="10" spans="1:12" ht="14.25" customHeight="1" x14ac:dyDescent="0.3">
      <c r="A10" s="23">
        <v>46256</v>
      </c>
      <c r="B10" s="10" t="s">
        <v>473</v>
      </c>
      <c r="C10" s="10" t="s">
        <v>121</v>
      </c>
      <c r="D10" s="10" t="s">
        <v>436</v>
      </c>
      <c r="E10" s="10" t="s">
        <v>404</v>
      </c>
      <c r="F10" s="10" t="s">
        <v>191</v>
      </c>
      <c r="G10" s="10" t="s">
        <v>81</v>
      </c>
      <c r="H10" s="13">
        <v>150</v>
      </c>
      <c r="I10" s="10" t="s">
        <v>210</v>
      </c>
      <c r="J10" s="10" t="s">
        <v>136</v>
      </c>
    </row>
    <row r="11" spans="1:12" ht="14.25" customHeight="1" x14ac:dyDescent="0.3">
      <c r="A11" s="23">
        <v>46257</v>
      </c>
      <c r="B11" s="10" t="s">
        <v>474</v>
      </c>
      <c r="C11" s="10" t="s">
        <v>158</v>
      </c>
      <c r="D11" s="10" t="s">
        <v>452</v>
      </c>
      <c r="E11" s="10" t="s">
        <v>407</v>
      </c>
      <c r="F11" s="10" t="s">
        <v>230</v>
      </c>
      <c r="G11" s="10" t="s">
        <v>183</v>
      </c>
      <c r="H11" s="13">
        <v>190</v>
      </c>
      <c r="I11" s="10" t="s">
        <v>257</v>
      </c>
      <c r="J11" s="10" t="s">
        <v>193</v>
      </c>
    </row>
    <row r="12" spans="1:12" ht="14.25" customHeight="1" x14ac:dyDescent="0.3">
      <c r="A12" s="23">
        <v>46259</v>
      </c>
      <c r="B12" s="10" t="s">
        <v>478</v>
      </c>
      <c r="C12" s="10" t="s">
        <v>184</v>
      </c>
      <c r="D12" s="10" t="s">
        <v>454</v>
      </c>
      <c r="E12" s="10" t="s">
        <v>411</v>
      </c>
      <c r="F12" s="10" t="s">
        <v>95</v>
      </c>
      <c r="G12" s="10" t="s">
        <v>118</v>
      </c>
      <c r="H12" s="13">
        <v>260</v>
      </c>
      <c r="I12" s="10" t="s">
        <v>256</v>
      </c>
      <c r="J12" s="10" t="s">
        <v>167</v>
      </c>
    </row>
    <row r="13" spans="1:12" ht="14.25" customHeight="1" x14ac:dyDescent="0.3">
      <c r="A13" s="23">
        <v>46261</v>
      </c>
      <c r="B13" s="10" t="s">
        <v>481</v>
      </c>
      <c r="C13" s="10" t="s">
        <v>84</v>
      </c>
      <c r="D13" s="10" t="s">
        <v>374</v>
      </c>
      <c r="E13" s="10" t="s">
        <v>418</v>
      </c>
      <c r="F13" s="10" t="s">
        <v>214</v>
      </c>
      <c r="G13" s="10" t="s">
        <v>156</v>
      </c>
      <c r="H13" s="13">
        <v>170</v>
      </c>
      <c r="I13" s="10" t="s">
        <v>249</v>
      </c>
      <c r="J13" s="10" t="s">
        <v>136</v>
      </c>
    </row>
  </sheetData>
  <mergeCells count="2">
    <mergeCell ref="D1:G1"/>
    <mergeCell ref="D2:G2"/>
  </mergeCells>
  <dataValidations count="7">
    <dataValidation type="list" allowBlank="1" errorTitle="Not in master" error="Value must be chosen from the master list." promptTitle="Master-driven list" prompt="Select from M_OrderNo" sqref="B7:B500" xr:uid="{00000000-0002-0000-1600-000000000000}">
      <formula1>M_OrderNo</formula1>
      <formula2>0</formula2>
    </dataValidation>
    <dataValidation type="list" allowBlank="1" errorTitle="Not in master" error="Value must be chosen from the master list." promptTitle="Master-driven list" prompt="Select from L_StitchingUnit" sqref="C7:C500" xr:uid="{00000000-0002-0000-1600-000001000000}">
      <formula1>L_StitchingUnit</formula1>
      <formula2>0</formula2>
    </dataValidation>
    <dataValidation type="list" allowBlank="1" errorTitle="Not in master" error="Value must be chosen from the master list." promptTitle="Master-driven list" prompt="Select from M_EmpName" sqref="D7:D500" xr:uid="{00000000-0002-0000-1600-000002000000}">
      <formula1>M_EmpName</formula1>
      <formula2>0</formula2>
    </dataValidation>
    <dataValidation type="list" allowBlank="1" errorTitle="Not in master" error="Value must be chosen from the master list." promptTitle="Master-driven list" prompt="Select from M_StyleNo" sqref="E7:E500" xr:uid="{00000000-0002-0000-1600-000003000000}">
      <formula1>M_StyleNo</formula1>
      <formula2>0</formula2>
    </dataValidation>
    <dataValidation type="list" allowBlank="1" errorTitle="Not in master" error="Value must be chosen from the master list." promptTitle="Master-driven list" prompt="Select from L_Operation" sqref="F7:F500" xr:uid="{00000000-0002-0000-1600-000004000000}">
      <formula1>L_Operation</formula1>
      <formula2>0</formula2>
    </dataValidation>
    <dataValidation type="list" allowBlank="1" errorTitle="Not in master" error="Value must be chosen from the master list." promptTitle="Master-driven list" prompt="Select from L_DefectType" sqref="I7:I500" xr:uid="{00000000-0002-0000-1600-000005000000}">
      <formula1>L_DefectType</formula1>
      <formula2>0</formula2>
    </dataValidation>
    <dataValidation type="list" allowBlank="1" errorTitle="Not in master" error="Value must be chosen from the master list." promptTitle="Master-driven list" prompt="Select from L_InformTo" sqref="J7:J500" xr:uid="{00000000-0002-0000-1600-000006000000}">
      <formula1>L_InformTo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50"/>
  </sheetPr>
  <dimension ref="A1:J13"/>
  <sheetViews>
    <sheetView zoomScaleNormal="100" workbookViewId="0">
      <pane ySplit="6" topLeftCell="A7" activePane="bottomLeft" state="frozen"/>
      <selection pane="bottomLeft" activeCell="C7" sqref="C7"/>
    </sheetView>
  </sheetViews>
  <sheetFormatPr defaultColWidth="8.5546875" defaultRowHeight="14.4" x14ac:dyDescent="0.3"/>
  <cols>
    <col min="1" max="1" width="21" customWidth="1"/>
    <col min="2" max="2" width="10.5546875" customWidth="1"/>
    <col min="3" max="4" width="32" customWidth="1"/>
    <col min="5" max="6" width="17.44140625" customWidth="1"/>
    <col min="7" max="7" width="18" customWidth="1"/>
    <col min="8" max="8" width="20" customWidth="1"/>
  </cols>
  <sheetData>
    <row r="1" spans="1:10" ht="21" customHeight="1" x14ac:dyDescent="0.3">
      <c r="A1" s="21" t="s">
        <v>765</v>
      </c>
      <c r="C1" s="77" t="s">
        <v>25</v>
      </c>
      <c r="D1" s="77"/>
      <c r="E1" s="77"/>
      <c r="F1" s="77"/>
      <c r="J1" s="27"/>
    </row>
    <row r="2" spans="1:10" ht="21" customHeight="1" x14ac:dyDescent="0.3">
      <c r="C2" s="78" t="s">
        <v>773</v>
      </c>
      <c r="D2" s="78"/>
      <c r="E2" s="78"/>
      <c r="F2" s="78"/>
    </row>
    <row r="4" spans="1:10" ht="15" customHeight="1" x14ac:dyDescent="0.3">
      <c r="A4" s="9" t="s">
        <v>493</v>
      </c>
      <c r="B4" s="9" t="s">
        <v>457</v>
      </c>
      <c r="C4" s="9" t="s">
        <v>767</v>
      </c>
      <c r="D4" s="9" t="s">
        <v>768</v>
      </c>
      <c r="E4" s="9" t="s">
        <v>774</v>
      </c>
      <c r="F4" s="9" t="s">
        <v>775</v>
      </c>
      <c r="G4" s="9" t="s">
        <v>776</v>
      </c>
      <c r="H4" s="9" t="s">
        <v>772</v>
      </c>
    </row>
    <row r="5" spans="1:10" ht="14.25" customHeight="1" x14ac:dyDescent="0.3">
      <c r="A5" s="16" t="s">
        <v>631</v>
      </c>
      <c r="B5" s="49" t="s">
        <v>498</v>
      </c>
      <c r="C5" s="16" t="s">
        <v>631</v>
      </c>
      <c r="D5" s="49" t="s">
        <v>498</v>
      </c>
      <c r="E5" s="49" t="s">
        <v>498</v>
      </c>
      <c r="F5" s="17" t="s">
        <v>608</v>
      </c>
      <c r="G5" s="49" t="s">
        <v>498</v>
      </c>
      <c r="H5" s="49" t="s">
        <v>498</v>
      </c>
    </row>
    <row r="7" spans="1:10" ht="14.25" customHeight="1" x14ac:dyDescent="0.3">
      <c r="A7" s="23">
        <v>46251</v>
      </c>
      <c r="B7" s="10" t="s">
        <v>469</v>
      </c>
      <c r="C7" s="10" t="s">
        <v>84</v>
      </c>
      <c r="D7" s="10" t="s">
        <v>374</v>
      </c>
      <c r="E7" s="10" t="s">
        <v>400</v>
      </c>
      <c r="F7" s="13">
        <v>24</v>
      </c>
      <c r="G7" s="10" t="s">
        <v>125</v>
      </c>
      <c r="H7" s="10" t="s">
        <v>100</v>
      </c>
    </row>
    <row r="8" spans="1:10" ht="14.25" customHeight="1" x14ac:dyDescent="0.3">
      <c r="A8" s="23">
        <v>46252</v>
      </c>
      <c r="B8" s="10" t="s">
        <v>469</v>
      </c>
      <c r="C8" s="10" t="s">
        <v>84</v>
      </c>
      <c r="D8" s="10" t="s">
        <v>374</v>
      </c>
      <c r="E8" s="10" t="s">
        <v>400</v>
      </c>
      <c r="F8" s="13">
        <v>18</v>
      </c>
      <c r="G8" s="10" t="s">
        <v>90</v>
      </c>
      <c r="H8" s="10" t="s">
        <v>167</v>
      </c>
    </row>
    <row r="9" spans="1:10" ht="14.25" customHeight="1" x14ac:dyDescent="0.3">
      <c r="A9" s="23">
        <v>46254</v>
      </c>
      <c r="B9" s="10" t="s">
        <v>473</v>
      </c>
      <c r="C9" s="10" t="s">
        <v>121</v>
      </c>
      <c r="D9" s="10" t="s">
        <v>436</v>
      </c>
      <c r="E9" s="10" t="s">
        <v>404</v>
      </c>
      <c r="F9" s="13">
        <v>31</v>
      </c>
      <c r="G9" s="10" t="s">
        <v>255</v>
      </c>
      <c r="H9" s="10" t="s">
        <v>100</v>
      </c>
    </row>
    <row r="10" spans="1:10" ht="14.25" customHeight="1" x14ac:dyDescent="0.3">
      <c r="A10" s="23">
        <v>46256</v>
      </c>
      <c r="B10" s="10" t="s">
        <v>473</v>
      </c>
      <c r="C10" s="10" t="s">
        <v>121</v>
      </c>
      <c r="D10" s="10" t="s">
        <v>436</v>
      </c>
      <c r="E10" s="10" t="s">
        <v>404</v>
      </c>
      <c r="F10" s="13">
        <v>15</v>
      </c>
      <c r="G10" s="10" t="s">
        <v>188</v>
      </c>
      <c r="H10" s="10" t="s">
        <v>136</v>
      </c>
    </row>
    <row r="11" spans="1:10" ht="14.25" customHeight="1" x14ac:dyDescent="0.3">
      <c r="A11" s="23">
        <v>46257</v>
      </c>
      <c r="B11" s="10" t="s">
        <v>474</v>
      </c>
      <c r="C11" s="10" t="s">
        <v>158</v>
      </c>
      <c r="D11" s="10" t="s">
        <v>452</v>
      </c>
      <c r="E11" s="10" t="s">
        <v>407</v>
      </c>
      <c r="F11" s="13">
        <v>27</v>
      </c>
      <c r="G11" s="10" t="s">
        <v>256</v>
      </c>
      <c r="H11" s="10" t="s">
        <v>193</v>
      </c>
    </row>
    <row r="12" spans="1:10" ht="14.25" customHeight="1" x14ac:dyDescent="0.3">
      <c r="A12" s="23">
        <v>46259</v>
      </c>
      <c r="B12" s="10" t="s">
        <v>478</v>
      </c>
      <c r="C12" s="10" t="s">
        <v>184</v>
      </c>
      <c r="D12" s="10" t="s">
        <v>454</v>
      </c>
      <c r="E12" s="10" t="s">
        <v>411</v>
      </c>
      <c r="F12" s="13">
        <v>42</v>
      </c>
      <c r="G12" s="10" t="s">
        <v>259</v>
      </c>
      <c r="H12" s="10" t="s">
        <v>167</v>
      </c>
    </row>
    <row r="13" spans="1:10" ht="14.25" customHeight="1" x14ac:dyDescent="0.3">
      <c r="A13" s="23">
        <v>46261</v>
      </c>
      <c r="B13" s="10" t="s">
        <v>481</v>
      </c>
      <c r="C13" s="10" t="s">
        <v>84</v>
      </c>
      <c r="D13" s="10" t="s">
        <v>374</v>
      </c>
      <c r="E13" s="10" t="s">
        <v>418</v>
      </c>
      <c r="F13" s="13">
        <v>22</v>
      </c>
      <c r="G13" s="10" t="s">
        <v>254</v>
      </c>
      <c r="H13" s="10" t="s">
        <v>136</v>
      </c>
    </row>
  </sheetData>
  <mergeCells count="2">
    <mergeCell ref="C1:F1"/>
    <mergeCell ref="C2:F2"/>
  </mergeCells>
  <dataValidations count="6">
    <dataValidation type="list" allowBlank="1" errorTitle="Not in master" error="Value must be chosen from the master list." promptTitle="Master-driven list" prompt="Select from M_OrderNo" sqref="B7:B500" xr:uid="{00000000-0002-0000-1700-000000000000}">
      <formula1>M_OrderNo</formula1>
      <formula2>0</formula2>
    </dataValidation>
    <dataValidation type="list" allowBlank="1" errorTitle="Not in master" error="Value must be chosen from the master list." promptTitle="Master-driven list" prompt="Select from L_StitchingUnit" sqref="C7:C500" xr:uid="{00000000-0002-0000-1700-000001000000}">
      <formula1>L_StitchingUnit</formula1>
      <formula2>0</formula2>
    </dataValidation>
    <dataValidation type="list" allowBlank="1" errorTitle="Not in master" error="Value must be chosen from the master list." promptTitle="Master-driven list" prompt="Select from M_EmpName" sqref="D7:D500" xr:uid="{00000000-0002-0000-1700-000002000000}">
      <formula1>M_EmpName</formula1>
      <formula2>0</formula2>
    </dataValidation>
    <dataValidation type="list" allowBlank="1" errorTitle="Not in master" error="Value must be chosen from the master list." promptTitle="Master-driven list" prompt="Select from M_StyleNo" sqref="E7:E500" xr:uid="{00000000-0002-0000-1700-000003000000}">
      <formula1>M_StyleNo</formula1>
      <formula2>0</formula2>
    </dataValidation>
    <dataValidation type="list" allowBlank="1" errorTitle="Not in master" error="Value must be chosen from the master list." promptTitle="Master-driven list" prompt="Select from L_DefectType" sqref="G7:G500" xr:uid="{00000000-0002-0000-1700-000004000000}">
      <formula1>L_DefectType</formula1>
      <formula2>0</formula2>
    </dataValidation>
    <dataValidation type="list" allowBlank="1" errorTitle="Not in master" error="Value must be chosen from the master list." promptTitle="Master-driven list" prompt="Select from L_InformTo" sqref="H7:H500" xr:uid="{00000000-0002-0000-1700-000005000000}">
      <formula1>L_InformTo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50"/>
  </sheetPr>
  <dimension ref="A1:M13"/>
  <sheetViews>
    <sheetView showGridLines="0" zoomScaleNormal="100" workbookViewId="0">
      <pane ySplit="6" topLeftCell="A7" activePane="bottomLeft" state="frozen"/>
      <selection pane="bottomLeft" activeCell="L19" sqref="L19"/>
    </sheetView>
  </sheetViews>
  <sheetFormatPr defaultColWidth="8.5546875" defaultRowHeight="14.4" x14ac:dyDescent="0.3"/>
  <cols>
    <col min="1" max="3" width="32" customWidth="1"/>
    <col min="4" max="4" width="26" customWidth="1"/>
    <col min="5" max="5" width="31" customWidth="1"/>
    <col min="6" max="6" width="19" customWidth="1"/>
    <col min="7" max="9" width="18" customWidth="1"/>
    <col min="10" max="10" width="26" customWidth="1"/>
    <col min="11" max="11" width="30" customWidth="1"/>
  </cols>
  <sheetData>
    <row r="1" spans="1:13" ht="21" customHeight="1" x14ac:dyDescent="0.3">
      <c r="A1" s="8" t="s">
        <v>765</v>
      </c>
      <c r="C1" s="77" t="s">
        <v>25</v>
      </c>
      <c r="D1" s="77"/>
      <c r="E1" s="77"/>
      <c r="F1" s="77"/>
      <c r="G1" s="77"/>
      <c r="H1" s="77"/>
      <c r="I1" s="77"/>
      <c r="J1" s="77"/>
      <c r="K1" s="77"/>
      <c r="L1" s="77"/>
      <c r="M1" s="77"/>
    </row>
    <row r="2" spans="1:13" ht="21" customHeight="1" x14ac:dyDescent="0.3">
      <c r="A2" s="2"/>
      <c r="C2" s="78" t="s">
        <v>777</v>
      </c>
      <c r="D2" s="78"/>
      <c r="E2" s="78"/>
      <c r="F2" s="78"/>
      <c r="G2" s="78"/>
      <c r="H2" s="78"/>
      <c r="I2" s="78"/>
      <c r="J2" s="78"/>
      <c r="K2" s="78"/>
      <c r="L2" s="78"/>
      <c r="M2" s="78"/>
    </row>
    <row r="3" spans="1:13" ht="12" customHeight="1" x14ac:dyDescent="0.3"/>
    <row r="4" spans="1:13" ht="30" customHeight="1" x14ac:dyDescent="0.3">
      <c r="A4" s="9" t="s">
        <v>493</v>
      </c>
      <c r="B4" s="9" t="s">
        <v>457</v>
      </c>
      <c r="C4" s="9" t="s">
        <v>389</v>
      </c>
      <c r="D4" s="9" t="s">
        <v>212</v>
      </c>
      <c r="E4" s="9" t="s">
        <v>778</v>
      </c>
      <c r="F4" s="9" t="s">
        <v>779</v>
      </c>
      <c r="G4" s="9" t="s">
        <v>780</v>
      </c>
      <c r="H4" s="9" t="s">
        <v>687</v>
      </c>
      <c r="I4" s="9" t="s">
        <v>269</v>
      </c>
      <c r="J4" s="9" t="s">
        <v>781</v>
      </c>
      <c r="K4" s="9" t="s">
        <v>322</v>
      </c>
    </row>
    <row r="5" spans="1:13" ht="14.25" customHeight="1" x14ac:dyDescent="0.3">
      <c r="A5" s="35" t="s">
        <v>270</v>
      </c>
      <c r="B5" s="35" t="s">
        <v>631</v>
      </c>
      <c r="C5" s="35" t="s">
        <v>631</v>
      </c>
      <c r="D5" s="36" t="s">
        <v>272</v>
      </c>
      <c r="E5" s="36" t="s">
        <v>272</v>
      </c>
      <c r="F5" s="37" t="s">
        <v>271</v>
      </c>
      <c r="G5" s="37" t="s">
        <v>271</v>
      </c>
      <c r="H5" s="36" t="s">
        <v>272</v>
      </c>
      <c r="I5" s="36" t="s">
        <v>272</v>
      </c>
      <c r="J5" s="36" t="s">
        <v>272</v>
      </c>
      <c r="K5" s="37" t="s">
        <v>323</v>
      </c>
    </row>
    <row r="6" spans="1:13" ht="42.75" customHeight="1" x14ac:dyDescent="0.3">
      <c r="D6" s="38" t="s">
        <v>782</v>
      </c>
      <c r="E6" s="38" t="s">
        <v>783</v>
      </c>
      <c r="I6" s="38" t="s">
        <v>784</v>
      </c>
      <c r="J6" s="38" t="s">
        <v>785</v>
      </c>
    </row>
    <row r="7" spans="1:13" ht="14.25" customHeight="1" x14ac:dyDescent="0.3">
      <c r="A7" s="23">
        <v>46252</v>
      </c>
      <c r="B7" s="10" t="s">
        <v>469</v>
      </c>
      <c r="C7" s="10" t="s">
        <v>400</v>
      </c>
      <c r="D7" s="10" t="s">
        <v>84</v>
      </c>
      <c r="E7" s="10" t="s">
        <v>437</v>
      </c>
      <c r="F7" s="13">
        <v>2380</v>
      </c>
      <c r="G7" s="13">
        <v>120</v>
      </c>
      <c r="H7" s="10" t="s">
        <v>90</v>
      </c>
      <c r="I7" s="10" t="s">
        <v>128</v>
      </c>
      <c r="J7" s="10" t="s">
        <v>84</v>
      </c>
      <c r="K7" s="10" t="s">
        <v>786</v>
      </c>
    </row>
    <row r="8" spans="1:13" ht="14.25" customHeight="1" x14ac:dyDescent="0.3">
      <c r="A8" s="23">
        <v>46253</v>
      </c>
      <c r="B8" s="10" t="s">
        <v>469</v>
      </c>
      <c r="C8" s="10" t="s">
        <v>400</v>
      </c>
      <c r="D8" s="10" t="s">
        <v>84</v>
      </c>
      <c r="E8" s="10" t="s">
        <v>437</v>
      </c>
      <c r="F8" s="13">
        <v>2450</v>
      </c>
      <c r="G8" s="13">
        <v>60</v>
      </c>
      <c r="H8" s="10" t="s">
        <v>125</v>
      </c>
      <c r="I8" s="10" t="s">
        <v>93</v>
      </c>
      <c r="J8" s="10"/>
      <c r="K8" s="10"/>
    </row>
    <row r="9" spans="1:13" ht="14.25" customHeight="1" x14ac:dyDescent="0.3">
      <c r="A9" s="23">
        <v>46255</v>
      </c>
      <c r="B9" s="10" t="s">
        <v>473</v>
      </c>
      <c r="C9" s="10" t="s">
        <v>404</v>
      </c>
      <c r="D9" s="10" t="s">
        <v>121</v>
      </c>
      <c r="E9" s="10" t="s">
        <v>440</v>
      </c>
      <c r="F9" s="13">
        <v>3320</v>
      </c>
      <c r="G9" s="13">
        <v>180</v>
      </c>
      <c r="H9" s="10" t="s">
        <v>255</v>
      </c>
      <c r="I9" s="10" t="s">
        <v>128</v>
      </c>
      <c r="J9" s="10" t="s">
        <v>121</v>
      </c>
      <c r="K9" s="10" t="s">
        <v>787</v>
      </c>
    </row>
    <row r="10" spans="1:13" ht="14.25" customHeight="1" x14ac:dyDescent="0.3">
      <c r="A10" s="23">
        <v>46257</v>
      </c>
      <c r="B10" s="10" t="s">
        <v>473</v>
      </c>
      <c r="C10" s="10" t="s">
        <v>404</v>
      </c>
      <c r="D10" s="10" t="s">
        <v>121</v>
      </c>
      <c r="E10" s="10" t="s">
        <v>440</v>
      </c>
      <c r="F10" s="13">
        <v>3410</v>
      </c>
      <c r="G10" s="13">
        <v>90</v>
      </c>
      <c r="H10" s="10" t="s">
        <v>188</v>
      </c>
      <c r="I10" s="10" t="s">
        <v>93</v>
      </c>
      <c r="J10" s="10"/>
      <c r="K10" s="10" t="s">
        <v>788</v>
      </c>
    </row>
    <row r="11" spans="1:13" ht="14.25" customHeight="1" x14ac:dyDescent="0.3">
      <c r="A11" s="23">
        <v>46258</v>
      </c>
      <c r="B11" s="10" t="s">
        <v>474</v>
      </c>
      <c r="C11" s="10" t="s">
        <v>407</v>
      </c>
      <c r="D11" s="10" t="s">
        <v>158</v>
      </c>
      <c r="E11" s="10" t="s">
        <v>437</v>
      </c>
      <c r="F11" s="13">
        <v>1860</v>
      </c>
      <c r="G11" s="13">
        <v>140</v>
      </c>
      <c r="H11" s="10" t="s">
        <v>257</v>
      </c>
      <c r="I11" s="10" t="s">
        <v>128</v>
      </c>
      <c r="J11" s="10" t="s">
        <v>158</v>
      </c>
      <c r="K11" s="10" t="s">
        <v>789</v>
      </c>
    </row>
    <row r="12" spans="1:13" ht="14.25" customHeight="1" x14ac:dyDescent="0.3">
      <c r="A12" s="23">
        <v>46260</v>
      </c>
      <c r="B12" s="10" t="s">
        <v>478</v>
      </c>
      <c r="C12" s="10" t="s">
        <v>411</v>
      </c>
      <c r="D12" s="10" t="s">
        <v>184</v>
      </c>
      <c r="E12" s="10" t="s">
        <v>440</v>
      </c>
      <c r="F12" s="13">
        <v>4780</v>
      </c>
      <c r="G12" s="13">
        <v>210</v>
      </c>
      <c r="H12" s="10" t="s">
        <v>259</v>
      </c>
      <c r="I12" s="10" t="s">
        <v>93</v>
      </c>
      <c r="J12" s="10"/>
      <c r="K12" s="10" t="s">
        <v>790</v>
      </c>
    </row>
    <row r="13" spans="1:13" ht="14.25" customHeight="1" x14ac:dyDescent="0.3">
      <c r="A13" s="23">
        <v>46262</v>
      </c>
      <c r="B13" s="10" t="s">
        <v>481</v>
      </c>
      <c r="C13" s="10" t="s">
        <v>418</v>
      </c>
      <c r="D13" s="10" t="s">
        <v>84</v>
      </c>
      <c r="E13" s="10" t="s">
        <v>437</v>
      </c>
      <c r="F13" s="13">
        <v>2890</v>
      </c>
      <c r="G13" s="13">
        <v>105</v>
      </c>
      <c r="H13" s="10" t="s">
        <v>256</v>
      </c>
      <c r="I13" s="10" t="s">
        <v>93</v>
      </c>
      <c r="J13" s="10"/>
      <c r="K13" s="10"/>
    </row>
  </sheetData>
  <mergeCells count="2">
    <mergeCell ref="C1:M1"/>
    <mergeCell ref="C2:M2"/>
  </mergeCells>
  <dataValidations count="6">
    <dataValidation type="list" allowBlank="1" errorTitle="Not in master" error="Value must be chosen from the master list." promptTitle="Master-driven list" prompt="Select from M_OrderNo" sqref="B7:B500" xr:uid="{00000000-0002-0000-1800-000000000000}">
      <formula1>M_OrderNo</formula1>
      <formula2>0</formula2>
    </dataValidation>
    <dataValidation type="list" allowBlank="1" errorTitle="Not in master" error="Value must be chosen from the master list." promptTitle="Master-driven list" prompt="Select from M_StyleNo" sqref="C7:C500" xr:uid="{00000000-0002-0000-1800-000001000000}">
      <formula1>M_StyleNo</formula1>
      <formula2>0</formula2>
    </dataValidation>
    <dataValidation type="list" allowBlank="1" errorTitle="Not in master" error="Value must be chosen from the master list." promptTitle="Master-driven list" prompt="Select from L_StitchingUnit" sqref="D7:D500 J7:J500" xr:uid="{00000000-0002-0000-1800-000002000000}">
      <formula1>L_StitchingUnit</formula1>
      <formula2>0</formula2>
    </dataValidation>
    <dataValidation type="list" allowBlank="1" errorTitle="Not in master" error="Value must be chosen from the master list." promptTitle="Master-driven list" prompt="Select from M_EmpID" sqref="E7:E500" xr:uid="{00000000-0002-0000-1800-000003000000}">
      <formula1>M_EmpID</formula1>
      <formula2>0</formula2>
    </dataValidation>
    <dataValidation type="list" allowBlank="1" errorTitle="Not in master" error="Value must be chosen from the master list." promptTitle="Master-driven list" prompt="Select from L_DefectType" sqref="H7:H500" xr:uid="{00000000-0002-0000-1800-000004000000}">
      <formula1>L_DefectType</formula1>
      <formula2>0</formula2>
    </dataValidation>
    <dataValidation type="list" allowBlank="1" errorTitle="Not in master" error="Value must be chosen from the master list." promptTitle="Master-driven list" prompt="Select from L_StatusQC" sqref="I7:I500" xr:uid="{00000000-0002-0000-1800-000005000000}">
      <formula1>L_StatusQC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B050"/>
  </sheetPr>
  <dimension ref="A1:I12"/>
  <sheetViews>
    <sheetView zoomScaleNormal="100" workbookViewId="0">
      <pane ySplit="5" topLeftCell="A6" activePane="bottomLeft" state="frozen"/>
      <selection pane="bottomLeft" activeCell="F9" sqref="F9"/>
    </sheetView>
  </sheetViews>
  <sheetFormatPr defaultColWidth="8.5546875" defaultRowHeight="14.4" x14ac:dyDescent="0.3"/>
  <cols>
    <col min="1" max="1" width="21" customWidth="1"/>
    <col min="2" max="2" width="14" style="59" customWidth="1"/>
    <col min="3" max="3" width="18" customWidth="1"/>
    <col min="4" max="4" width="13" customWidth="1"/>
    <col min="5" max="5" width="19" customWidth="1"/>
    <col min="6" max="6" width="14" customWidth="1"/>
    <col min="7" max="7" width="18" customWidth="1"/>
  </cols>
  <sheetData>
    <row r="1" spans="1:9" ht="21" customHeight="1" x14ac:dyDescent="0.3">
      <c r="A1" s="21" t="s">
        <v>765</v>
      </c>
      <c r="C1" s="77" t="s">
        <v>25</v>
      </c>
      <c r="D1" s="77"/>
      <c r="E1" s="77"/>
      <c r="F1" s="77"/>
      <c r="I1" s="27"/>
    </row>
    <row r="2" spans="1:9" ht="21" customHeight="1" x14ac:dyDescent="0.3">
      <c r="C2" s="78" t="s">
        <v>791</v>
      </c>
      <c r="D2" s="78"/>
      <c r="E2" s="78"/>
      <c r="F2" s="78"/>
    </row>
    <row r="3" spans="1:9" ht="15" customHeight="1" x14ac:dyDescent="0.3">
      <c r="A3" s="9" t="s">
        <v>493</v>
      </c>
      <c r="B3" s="60" t="s">
        <v>778</v>
      </c>
      <c r="C3" s="9" t="s">
        <v>792</v>
      </c>
      <c r="D3" s="9" t="s">
        <v>389</v>
      </c>
      <c r="E3" s="9" t="s">
        <v>779</v>
      </c>
      <c r="F3" s="9" t="s">
        <v>793</v>
      </c>
      <c r="G3" s="9" t="s">
        <v>794</v>
      </c>
    </row>
    <row r="4" spans="1:9" ht="14.25" customHeight="1" x14ac:dyDescent="0.3">
      <c r="A4" s="11"/>
      <c r="B4" s="61"/>
      <c r="C4" s="11"/>
      <c r="D4" s="11"/>
      <c r="E4" s="11"/>
      <c r="F4" s="11"/>
    </row>
    <row r="5" spans="1:9" ht="14.25" customHeight="1" x14ac:dyDescent="0.3">
      <c r="A5" s="21" t="s">
        <v>795</v>
      </c>
      <c r="B5" s="21" t="s">
        <v>796</v>
      </c>
    </row>
    <row r="6" spans="1:9" ht="14.25" customHeight="1" x14ac:dyDescent="0.3">
      <c r="A6" s="23">
        <v>46252</v>
      </c>
      <c r="B6" s="62" t="s">
        <v>437</v>
      </c>
      <c r="C6" s="62" t="s">
        <v>438</v>
      </c>
      <c r="D6" s="10" t="s">
        <v>400</v>
      </c>
      <c r="E6" s="13">
        <v>2380</v>
      </c>
      <c r="F6" s="13">
        <v>120</v>
      </c>
      <c r="G6" s="10" t="s">
        <v>90</v>
      </c>
    </row>
    <row r="7" spans="1:9" ht="14.25" customHeight="1" x14ac:dyDescent="0.3">
      <c r="A7" s="23">
        <v>46253</v>
      </c>
      <c r="B7" s="10" t="s">
        <v>437</v>
      </c>
      <c r="C7" s="10" t="s">
        <v>438</v>
      </c>
      <c r="D7" s="10" t="s">
        <v>400</v>
      </c>
      <c r="E7" s="13">
        <v>2450</v>
      </c>
      <c r="F7" s="13">
        <v>60</v>
      </c>
      <c r="G7" s="10" t="s">
        <v>125</v>
      </c>
    </row>
    <row r="8" spans="1:9" ht="14.25" customHeight="1" x14ac:dyDescent="0.3">
      <c r="A8" s="23">
        <v>46255</v>
      </c>
      <c r="B8" s="10" t="s">
        <v>440</v>
      </c>
      <c r="C8" s="10" t="s">
        <v>441</v>
      </c>
      <c r="D8" s="10" t="s">
        <v>404</v>
      </c>
      <c r="E8" s="13">
        <v>3320</v>
      </c>
      <c r="F8" s="13">
        <v>180</v>
      </c>
      <c r="G8" s="10" t="s">
        <v>255</v>
      </c>
    </row>
    <row r="9" spans="1:9" ht="14.25" customHeight="1" x14ac:dyDescent="0.3">
      <c r="A9" s="23">
        <v>46257</v>
      </c>
      <c r="B9" s="10" t="s">
        <v>440</v>
      </c>
      <c r="C9" s="10" t="s">
        <v>441</v>
      </c>
      <c r="D9" s="10" t="s">
        <v>404</v>
      </c>
      <c r="E9" s="13">
        <v>3410</v>
      </c>
      <c r="F9" s="13">
        <v>90</v>
      </c>
      <c r="G9" s="10" t="s">
        <v>188</v>
      </c>
    </row>
    <row r="10" spans="1:9" ht="14.25" customHeight="1" x14ac:dyDescent="0.3">
      <c r="A10" s="23">
        <v>46258</v>
      </c>
      <c r="B10" s="10" t="s">
        <v>437</v>
      </c>
      <c r="C10" s="10" t="s">
        <v>438</v>
      </c>
      <c r="D10" s="10" t="s">
        <v>407</v>
      </c>
      <c r="E10" s="13">
        <v>1860</v>
      </c>
      <c r="F10" s="13">
        <v>140</v>
      </c>
      <c r="G10" s="10" t="s">
        <v>257</v>
      </c>
    </row>
    <row r="11" spans="1:9" ht="14.25" customHeight="1" x14ac:dyDescent="0.3">
      <c r="A11" s="23">
        <v>46260</v>
      </c>
      <c r="B11" s="10" t="s">
        <v>440</v>
      </c>
      <c r="C11" s="10" t="s">
        <v>441</v>
      </c>
      <c r="D11" s="10" t="s">
        <v>411</v>
      </c>
      <c r="E11" s="13">
        <v>4780</v>
      </c>
      <c r="F11" s="13">
        <v>210</v>
      </c>
      <c r="G11" s="10" t="s">
        <v>259</v>
      </c>
    </row>
    <row r="12" spans="1:9" ht="14.25" customHeight="1" x14ac:dyDescent="0.3">
      <c r="A12" s="23">
        <v>46262</v>
      </c>
      <c r="B12" s="10" t="s">
        <v>437</v>
      </c>
      <c r="C12" s="10" t="s">
        <v>438</v>
      </c>
      <c r="D12" s="10" t="s">
        <v>418</v>
      </c>
      <c r="E12" s="13">
        <v>2890</v>
      </c>
      <c r="F12" s="13">
        <v>105</v>
      </c>
      <c r="G12" s="10" t="s">
        <v>256</v>
      </c>
    </row>
  </sheetData>
  <mergeCells count="2">
    <mergeCell ref="C1:F1"/>
    <mergeCell ref="C2:F2"/>
  </mergeCells>
  <dataValidations count="4">
    <dataValidation type="list" allowBlank="1" errorTitle="Not in master" error="Value must be chosen from the master list." promptTitle="Master-driven list" prompt="Select from M_EmpID" sqref="B6:B500" xr:uid="{00000000-0002-0000-1900-000000000000}">
      <formula1>M_EmpID</formula1>
      <formula2>0</formula2>
    </dataValidation>
    <dataValidation type="list" allowBlank="1" errorTitle="Not in master" error="Value must be chosen from the master list." promptTitle="Master-driven list" prompt="Select from M_EmpName" sqref="C6:C500" xr:uid="{00000000-0002-0000-1900-000001000000}">
      <formula1>M_EmpName</formula1>
      <formula2>0</formula2>
    </dataValidation>
    <dataValidation type="list" allowBlank="1" errorTitle="Not in master" error="Value must be chosen from the master list." promptTitle="Master-driven list" prompt="Select from M_StyleNo" sqref="D6:D500" xr:uid="{00000000-0002-0000-1900-000002000000}">
      <formula1>M_StyleNo</formula1>
      <formula2>0</formula2>
    </dataValidation>
    <dataValidation type="list" allowBlank="1" errorTitle="Not in master" error="Value must be chosen from the master list." promptTitle="Master-driven list" prompt="Select from L_DefectType" sqref="G6:G500" xr:uid="{00000000-0002-0000-1900-000003000000}">
      <formula1>L_DefectType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B050"/>
  </sheetPr>
  <dimension ref="A1:AA13"/>
  <sheetViews>
    <sheetView topLeftCell="G1" zoomScaleNormal="100" workbookViewId="0">
      <pane ySplit="6" topLeftCell="A7" activePane="bottomLeft" state="frozen"/>
      <selection activeCell="G1" sqref="G1"/>
      <selection pane="bottomLeft" activeCell="G14" sqref="G14"/>
    </sheetView>
  </sheetViews>
  <sheetFormatPr defaultColWidth="8.5546875" defaultRowHeight="14.4" x14ac:dyDescent="0.3"/>
  <cols>
    <col min="1" max="1" width="10" customWidth="1"/>
    <col min="2" max="3" width="14" customWidth="1"/>
    <col min="4" max="4" width="21" customWidth="1"/>
    <col min="5" max="5" width="13" customWidth="1"/>
    <col min="6" max="6" width="32" customWidth="1"/>
    <col min="7" max="7" width="12" customWidth="1"/>
    <col min="8" max="8" width="13" customWidth="1"/>
    <col min="9" max="9" width="14" customWidth="1"/>
    <col min="10" max="11" width="15" customWidth="1"/>
    <col min="12" max="12" width="31" customWidth="1"/>
    <col min="13" max="13" width="14" customWidth="1"/>
    <col min="14" max="14" width="17" customWidth="1"/>
    <col min="15" max="15" width="16" customWidth="1"/>
    <col min="16" max="16" width="10" customWidth="1"/>
    <col min="17" max="17" width="14" customWidth="1"/>
    <col min="18" max="19" width="15" customWidth="1"/>
    <col min="20" max="22" width="9" customWidth="1"/>
    <col min="23" max="23" width="21" customWidth="1"/>
    <col min="24" max="24" width="15" customWidth="1"/>
    <col min="25" max="25" width="21" customWidth="1"/>
  </cols>
  <sheetData>
    <row r="1" spans="1:27" ht="21" customHeight="1" x14ac:dyDescent="0.3">
      <c r="A1" s="21" t="s">
        <v>765</v>
      </c>
      <c r="L1" s="77" t="s">
        <v>25</v>
      </c>
      <c r="M1" s="77"/>
      <c r="N1" s="77"/>
      <c r="O1" s="77"/>
      <c r="AA1" s="27"/>
    </row>
    <row r="2" spans="1:27" ht="21" customHeight="1" x14ac:dyDescent="0.3">
      <c r="L2" s="78" t="s">
        <v>766</v>
      </c>
      <c r="M2" s="78"/>
      <c r="N2" s="78"/>
      <c r="O2" s="78"/>
    </row>
    <row r="4" spans="1:27" s="19" customFormat="1" ht="15" customHeight="1" x14ac:dyDescent="0.3">
      <c r="A4" s="9" t="s">
        <v>457</v>
      </c>
      <c r="B4" s="9" t="s">
        <v>778</v>
      </c>
      <c r="C4" s="9" t="s">
        <v>792</v>
      </c>
      <c r="D4" s="9" t="s">
        <v>797</v>
      </c>
      <c r="E4" s="9" t="s">
        <v>798</v>
      </c>
      <c r="F4" s="9" t="s">
        <v>90</v>
      </c>
      <c r="G4" s="9" t="s">
        <v>799</v>
      </c>
      <c r="H4" s="9" t="s">
        <v>800</v>
      </c>
      <c r="I4" s="9" t="s">
        <v>801</v>
      </c>
      <c r="J4" s="9" t="s">
        <v>188</v>
      </c>
      <c r="K4" s="9" t="s">
        <v>802</v>
      </c>
      <c r="L4" s="9" t="s">
        <v>228</v>
      </c>
      <c r="M4" s="9" t="s">
        <v>240</v>
      </c>
      <c r="N4" s="9" t="s">
        <v>803</v>
      </c>
      <c r="O4" s="9" t="s">
        <v>804</v>
      </c>
      <c r="P4" s="9" t="s">
        <v>805</v>
      </c>
      <c r="Q4" s="9" t="s">
        <v>255</v>
      </c>
      <c r="R4" s="9" t="s">
        <v>256</v>
      </c>
      <c r="S4" s="9" t="s">
        <v>806</v>
      </c>
      <c r="T4" s="9" t="s">
        <v>807</v>
      </c>
      <c r="U4" s="9" t="s">
        <v>808</v>
      </c>
      <c r="V4" s="9" t="s">
        <v>809</v>
      </c>
      <c r="W4" s="9" t="s">
        <v>810</v>
      </c>
      <c r="X4" s="9" t="s">
        <v>811</v>
      </c>
      <c r="Y4" s="9" t="s">
        <v>812</v>
      </c>
    </row>
    <row r="5" spans="1:27" ht="14.25" customHeight="1" x14ac:dyDescent="0.3">
      <c r="A5" s="46" t="s">
        <v>631</v>
      </c>
      <c r="B5" s="46" t="s">
        <v>631</v>
      </c>
      <c r="C5" s="28" t="s">
        <v>498</v>
      </c>
      <c r="D5" s="46" t="s">
        <v>270</v>
      </c>
      <c r="E5" s="29" t="s">
        <v>608</v>
      </c>
      <c r="F5" s="82" t="s">
        <v>813</v>
      </c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58" t="s">
        <v>271</v>
      </c>
      <c r="X5" s="57" t="s">
        <v>270</v>
      </c>
      <c r="Y5" s="57" t="s">
        <v>270</v>
      </c>
    </row>
    <row r="6" spans="1:27" ht="14.25" customHeight="1" x14ac:dyDescent="0.3">
      <c r="A6" s="28" t="s">
        <v>498</v>
      </c>
      <c r="B6" s="28" t="s">
        <v>498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 spans="1:27" ht="14.25" customHeight="1" x14ac:dyDescent="0.3">
      <c r="A7" s="10" t="s">
        <v>469</v>
      </c>
      <c r="B7" s="10" t="s">
        <v>437</v>
      </c>
      <c r="C7" s="10" t="s">
        <v>438</v>
      </c>
      <c r="D7" s="23">
        <v>46252</v>
      </c>
      <c r="E7" s="13">
        <v>2380</v>
      </c>
      <c r="F7" s="13">
        <v>22</v>
      </c>
      <c r="G7" s="13">
        <v>14</v>
      </c>
      <c r="H7" s="13">
        <v>8</v>
      </c>
      <c r="I7" s="13">
        <v>6</v>
      </c>
      <c r="J7" s="13">
        <v>5</v>
      </c>
      <c r="K7" s="13">
        <v>4</v>
      </c>
      <c r="L7" s="13">
        <v>3</v>
      </c>
      <c r="M7" s="13">
        <v>2</v>
      </c>
      <c r="N7" s="13">
        <v>3</v>
      </c>
      <c r="O7" s="13">
        <v>6</v>
      </c>
      <c r="P7" s="13">
        <v>4</v>
      </c>
      <c r="Q7" s="13">
        <v>9</v>
      </c>
      <c r="R7" s="13">
        <v>7</v>
      </c>
      <c r="S7" s="13">
        <v>5</v>
      </c>
      <c r="T7" s="13">
        <v>3</v>
      </c>
      <c r="U7" s="13">
        <v>12</v>
      </c>
      <c r="V7" s="13">
        <v>7</v>
      </c>
      <c r="W7" s="47">
        <f t="shared" ref="W7:W13" si="0">E7-X7</f>
        <v>2260</v>
      </c>
      <c r="X7" s="47">
        <f t="shared" ref="X7:X13" si="1">SUM(F7:V7)</f>
        <v>120</v>
      </c>
      <c r="Y7" s="43">
        <f t="shared" ref="Y7:Y13" si="2">IFERROR(X7/E7,0)</f>
        <v>5.0420168067226892E-2</v>
      </c>
    </row>
    <row r="8" spans="1:27" ht="14.25" customHeight="1" x14ac:dyDescent="0.3">
      <c r="A8" s="10" t="s">
        <v>469</v>
      </c>
      <c r="B8" s="10" t="s">
        <v>437</v>
      </c>
      <c r="C8" s="10" t="s">
        <v>438</v>
      </c>
      <c r="D8" s="23">
        <v>46253</v>
      </c>
      <c r="E8" s="13">
        <v>2450</v>
      </c>
      <c r="F8" s="13">
        <v>15</v>
      </c>
      <c r="G8" s="13">
        <v>10</v>
      </c>
      <c r="H8" s="13">
        <v>6</v>
      </c>
      <c r="I8" s="13">
        <v>4</v>
      </c>
      <c r="J8" s="13">
        <v>3</v>
      </c>
      <c r="K8" s="13">
        <v>3</v>
      </c>
      <c r="L8" s="13">
        <v>2</v>
      </c>
      <c r="M8" s="13">
        <v>2</v>
      </c>
      <c r="N8" s="13">
        <v>1</v>
      </c>
      <c r="O8" s="13">
        <v>4</v>
      </c>
      <c r="P8" s="13">
        <v>3</v>
      </c>
      <c r="Q8" s="13">
        <v>6</v>
      </c>
      <c r="R8" s="13">
        <v>5</v>
      </c>
      <c r="S8" s="13">
        <v>3</v>
      </c>
      <c r="T8" s="13">
        <v>2</v>
      </c>
      <c r="U8" s="13">
        <v>8</v>
      </c>
      <c r="V8" s="13">
        <v>5</v>
      </c>
      <c r="W8" s="47">
        <f t="shared" si="0"/>
        <v>2368</v>
      </c>
      <c r="X8" s="47">
        <f t="shared" si="1"/>
        <v>82</v>
      </c>
      <c r="Y8" s="43">
        <f t="shared" si="2"/>
        <v>3.346938775510204E-2</v>
      </c>
    </row>
    <row r="9" spans="1:27" ht="14.25" customHeight="1" x14ac:dyDescent="0.3">
      <c r="A9" s="10" t="s">
        <v>473</v>
      </c>
      <c r="B9" s="10" t="s">
        <v>440</v>
      </c>
      <c r="C9" s="10" t="s">
        <v>441</v>
      </c>
      <c r="D9" s="23">
        <v>46255</v>
      </c>
      <c r="E9" s="13">
        <v>3320</v>
      </c>
      <c r="F9" s="13">
        <v>28</v>
      </c>
      <c r="G9" s="13">
        <v>18</v>
      </c>
      <c r="H9" s="13">
        <v>11</v>
      </c>
      <c r="I9" s="13">
        <v>9</v>
      </c>
      <c r="J9" s="13">
        <v>7</v>
      </c>
      <c r="K9" s="13">
        <v>6</v>
      </c>
      <c r="L9" s="13">
        <v>4</v>
      </c>
      <c r="M9" s="13">
        <v>3</v>
      </c>
      <c r="N9" s="13">
        <v>4</v>
      </c>
      <c r="O9" s="13">
        <v>8</v>
      </c>
      <c r="P9" s="13">
        <v>6</v>
      </c>
      <c r="Q9" s="13">
        <v>14</v>
      </c>
      <c r="R9" s="13">
        <v>10</v>
      </c>
      <c r="S9" s="13">
        <v>7</v>
      </c>
      <c r="T9" s="13">
        <v>5</v>
      </c>
      <c r="U9" s="13">
        <v>16</v>
      </c>
      <c r="V9" s="13">
        <v>9</v>
      </c>
      <c r="W9" s="47">
        <f t="shared" si="0"/>
        <v>3155</v>
      </c>
      <c r="X9" s="47">
        <f t="shared" si="1"/>
        <v>165</v>
      </c>
      <c r="Y9" s="43">
        <f t="shared" si="2"/>
        <v>4.9698795180722892E-2</v>
      </c>
    </row>
    <row r="10" spans="1:27" ht="14.25" customHeight="1" x14ac:dyDescent="0.3">
      <c r="A10" s="10" t="s">
        <v>473</v>
      </c>
      <c r="B10" s="10" t="s">
        <v>440</v>
      </c>
      <c r="C10" s="10" t="s">
        <v>441</v>
      </c>
      <c r="D10" s="23">
        <v>46257</v>
      </c>
      <c r="E10" s="13">
        <v>3410</v>
      </c>
      <c r="F10" s="13">
        <v>19</v>
      </c>
      <c r="G10" s="13">
        <v>12</v>
      </c>
      <c r="H10" s="13">
        <v>7</v>
      </c>
      <c r="I10" s="13">
        <v>5</v>
      </c>
      <c r="J10" s="13">
        <v>4</v>
      </c>
      <c r="K10" s="13">
        <v>4</v>
      </c>
      <c r="L10" s="13">
        <v>3</v>
      </c>
      <c r="M10" s="13">
        <v>2</v>
      </c>
      <c r="N10" s="13">
        <v>2</v>
      </c>
      <c r="O10" s="13">
        <v>5</v>
      </c>
      <c r="P10" s="13">
        <v>4</v>
      </c>
      <c r="Q10" s="13">
        <v>8</v>
      </c>
      <c r="R10" s="13">
        <v>6</v>
      </c>
      <c r="S10" s="13">
        <v>4</v>
      </c>
      <c r="T10" s="13">
        <v>3</v>
      </c>
      <c r="U10" s="13">
        <v>10</v>
      </c>
      <c r="V10" s="13">
        <v>6</v>
      </c>
      <c r="W10" s="47">
        <f t="shared" si="0"/>
        <v>3306</v>
      </c>
      <c r="X10" s="47">
        <f t="shared" si="1"/>
        <v>104</v>
      </c>
      <c r="Y10" s="43">
        <f t="shared" si="2"/>
        <v>3.0498533724340176E-2</v>
      </c>
    </row>
    <row r="11" spans="1:27" ht="14.25" customHeight="1" x14ac:dyDescent="0.3">
      <c r="A11" s="10" t="s">
        <v>474</v>
      </c>
      <c r="B11" s="10" t="s">
        <v>437</v>
      </c>
      <c r="C11" s="10" t="s">
        <v>438</v>
      </c>
      <c r="D11" s="23">
        <v>46258</v>
      </c>
      <c r="E11" s="13">
        <v>1860</v>
      </c>
      <c r="F11" s="13">
        <v>24</v>
      </c>
      <c r="G11" s="13">
        <v>15</v>
      </c>
      <c r="H11" s="13">
        <v>9</v>
      </c>
      <c r="I11" s="13">
        <v>7</v>
      </c>
      <c r="J11" s="13">
        <v>6</v>
      </c>
      <c r="K11" s="13">
        <v>5</v>
      </c>
      <c r="L11" s="13">
        <v>3</v>
      </c>
      <c r="M11" s="13">
        <v>3</v>
      </c>
      <c r="N11" s="13">
        <v>3</v>
      </c>
      <c r="O11" s="13">
        <v>7</v>
      </c>
      <c r="P11" s="13">
        <v>5</v>
      </c>
      <c r="Q11" s="13">
        <v>11</v>
      </c>
      <c r="R11" s="13">
        <v>8</v>
      </c>
      <c r="S11" s="13">
        <v>6</v>
      </c>
      <c r="T11" s="13">
        <v>4</v>
      </c>
      <c r="U11" s="13">
        <v>13</v>
      </c>
      <c r="V11" s="13">
        <v>8</v>
      </c>
      <c r="W11" s="47">
        <f t="shared" si="0"/>
        <v>1723</v>
      </c>
      <c r="X11" s="47">
        <f t="shared" si="1"/>
        <v>137</v>
      </c>
      <c r="Y11" s="43">
        <f t="shared" si="2"/>
        <v>7.3655913978494622E-2</v>
      </c>
    </row>
    <row r="12" spans="1:27" ht="14.25" customHeight="1" x14ac:dyDescent="0.3">
      <c r="A12" s="10" t="s">
        <v>478</v>
      </c>
      <c r="B12" s="10" t="s">
        <v>440</v>
      </c>
      <c r="C12" s="10" t="s">
        <v>441</v>
      </c>
      <c r="D12" s="23">
        <v>46260</v>
      </c>
      <c r="E12" s="13">
        <v>4780</v>
      </c>
      <c r="F12" s="13">
        <v>31</v>
      </c>
      <c r="G12" s="13">
        <v>20</v>
      </c>
      <c r="H12" s="13">
        <v>13</v>
      </c>
      <c r="I12" s="13">
        <v>10</v>
      </c>
      <c r="J12" s="13">
        <v>8</v>
      </c>
      <c r="K12" s="13">
        <v>7</v>
      </c>
      <c r="L12" s="13">
        <v>5</v>
      </c>
      <c r="M12" s="13">
        <v>4</v>
      </c>
      <c r="N12" s="13">
        <v>5</v>
      </c>
      <c r="O12" s="13">
        <v>9</v>
      </c>
      <c r="P12" s="13">
        <v>7</v>
      </c>
      <c r="Q12" s="13">
        <v>16</v>
      </c>
      <c r="R12" s="13">
        <v>12</v>
      </c>
      <c r="S12" s="13">
        <v>8</v>
      </c>
      <c r="T12" s="13">
        <v>6</v>
      </c>
      <c r="U12" s="13">
        <v>19</v>
      </c>
      <c r="V12" s="13">
        <v>11</v>
      </c>
      <c r="W12" s="47">
        <f t="shared" si="0"/>
        <v>4589</v>
      </c>
      <c r="X12" s="47">
        <f t="shared" si="1"/>
        <v>191</v>
      </c>
      <c r="Y12" s="43">
        <f t="shared" si="2"/>
        <v>3.9958158995815903E-2</v>
      </c>
    </row>
    <row r="13" spans="1:27" ht="14.25" customHeight="1" x14ac:dyDescent="0.3">
      <c r="A13" s="10" t="s">
        <v>481</v>
      </c>
      <c r="B13" s="10" t="s">
        <v>437</v>
      </c>
      <c r="C13" s="10" t="s">
        <v>438</v>
      </c>
      <c r="D13" s="23">
        <v>46262</v>
      </c>
      <c r="E13" s="13">
        <v>2890</v>
      </c>
      <c r="F13" s="13">
        <v>17</v>
      </c>
      <c r="G13" s="13">
        <v>11</v>
      </c>
      <c r="H13" s="13">
        <v>7</v>
      </c>
      <c r="I13" s="13">
        <v>5</v>
      </c>
      <c r="J13" s="13">
        <v>4</v>
      </c>
      <c r="K13" s="13">
        <v>3</v>
      </c>
      <c r="L13" s="13">
        <v>3</v>
      </c>
      <c r="M13" s="13">
        <v>2</v>
      </c>
      <c r="N13" s="13">
        <v>2</v>
      </c>
      <c r="O13" s="13">
        <v>5</v>
      </c>
      <c r="P13" s="13">
        <v>4</v>
      </c>
      <c r="Q13" s="13">
        <v>9</v>
      </c>
      <c r="R13" s="13">
        <v>6</v>
      </c>
      <c r="S13" s="13">
        <v>4</v>
      </c>
      <c r="T13" s="13">
        <v>3</v>
      </c>
      <c r="U13" s="13">
        <v>11</v>
      </c>
      <c r="V13" s="13">
        <v>6</v>
      </c>
      <c r="W13" s="47">
        <f t="shared" si="0"/>
        <v>2788</v>
      </c>
      <c r="X13" s="47">
        <f t="shared" si="1"/>
        <v>102</v>
      </c>
      <c r="Y13" s="43">
        <f t="shared" si="2"/>
        <v>3.5294117647058823E-2</v>
      </c>
    </row>
  </sheetData>
  <mergeCells count="3">
    <mergeCell ref="L1:O1"/>
    <mergeCell ref="L2:O2"/>
    <mergeCell ref="F5:V5"/>
  </mergeCells>
  <dataValidations count="3">
    <dataValidation type="list" allowBlank="1" errorTitle="Not in master" error="Value must be chosen from the master list." promptTitle="Master-driven list" prompt="Select from M_OrderNo" sqref="A7:A500" xr:uid="{00000000-0002-0000-1A00-000000000000}">
      <formula1>M_OrderNo</formula1>
      <formula2>0</formula2>
    </dataValidation>
    <dataValidation type="list" allowBlank="1" errorTitle="Not in master" error="Value must be chosen from the master list." promptTitle="Master-driven list" prompt="Select from M_EmpID" sqref="B7:B500" xr:uid="{00000000-0002-0000-1A00-000001000000}">
      <formula1>M_EmpID</formula1>
      <formula2>0</formula2>
    </dataValidation>
    <dataValidation type="list" allowBlank="1" errorTitle="Not in master" error="Value must be chosen from the master list." promptTitle="Master-driven list" prompt="Select from M_EmpName" sqref="C7:C500" xr:uid="{00000000-0002-0000-1A00-000002000000}">
      <formula1>M_EmpName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B050"/>
  </sheetPr>
  <dimension ref="A1:M13"/>
  <sheetViews>
    <sheetView showGridLines="0" zoomScaleNormal="100" workbookViewId="0">
      <pane ySplit="6" topLeftCell="A7" activePane="bottomLeft" state="frozen"/>
      <selection pane="bottomLeft" activeCell="I9" sqref="I9"/>
    </sheetView>
  </sheetViews>
  <sheetFormatPr defaultColWidth="8.5546875" defaultRowHeight="14.4" x14ac:dyDescent="0.3"/>
  <cols>
    <col min="1" max="3" width="32" customWidth="1"/>
    <col min="4" max="4" width="24" customWidth="1"/>
    <col min="5" max="5" width="19" customWidth="1"/>
    <col min="6" max="6" width="14" customWidth="1"/>
    <col min="7" max="7" width="35" customWidth="1"/>
    <col min="8" max="11" width="32" customWidth="1"/>
  </cols>
  <sheetData>
    <row r="1" spans="1:13" ht="21" customHeight="1" x14ac:dyDescent="0.3">
      <c r="A1" s="8" t="s">
        <v>814</v>
      </c>
      <c r="C1" s="77" t="s">
        <v>25</v>
      </c>
      <c r="D1" s="77"/>
      <c r="E1" s="77"/>
      <c r="F1" s="77"/>
      <c r="G1" s="77"/>
      <c r="H1" s="77"/>
      <c r="I1" s="77"/>
      <c r="J1" s="77"/>
      <c r="K1" s="77"/>
      <c r="L1" s="77"/>
      <c r="M1" s="77"/>
    </row>
    <row r="2" spans="1:13" ht="21" customHeight="1" x14ac:dyDescent="0.3">
      <c r="A2" s="2"/>
      <c r="C2" s="78" t="s">
        <v>815</v>
      </c>
      <c r="D2" s="78"/>
      <c r="E2" s="78"/>
      <c r="F2" s="78"/>
      <c r="G2" s="78"/>
      <c r="H2" s="78"/>
      <c r="I2" s="78"/>
      <c r="J2" s="78"/>
      <c r="K2" s="78"/>
      <c r="L2" s="78"/>
      <c r="M2" s="78"/>
    </row>
    <row r="3" spans="1:13" ht="12" customHeight="1" x14ac:dyDescent="0.3"/>
    <row r="4" spans="1:13" ht="30" customHeight="1" x14ac:dyDescent="0.3">
      <c r="A4" s="9" t="s">
        <v>493</v>
      </c>
      <c r="B4" s="9" t="s">
        <v>457</v>
      </c>
      <c r="C4" s="9" t="s">
        <v>389</v>
      </c>
      <c r="D4" s="9" t="s">
        <v>816</v>
      </c>
      <c r="E4" s="9" t="s">
        <v>779</v>
      </c>
      <c r="F4" s="9" t="s">
        <v>817</v>
      </c>
      <c r="G4" s="9" t="s">
        <v>818</v>
      </c>
      <c r="H4" s="9" t="s">
        <v>819</v>
      </c>
      <c r="I4" s="9" t="s">
        <v>820</v>
      </c>
      <c r="J4" s="9" t="s">
        <v>821</v>
      </c>
      <c r="K4" s="9" t="s">
        <v>322</v>
      </c>
    </row>
    <row r="5" spans="1:13" ht="14.25" customHeight="1" x14ac:dyDescent="0.3">
      <c r="A5" s="35" t="s">
        <v>270</v>
      </c>
      <c r="B5" s="36" t="s">
        <v>272</v>
      </c>
      <c r="C5" s="36" t="s">
        <v>272</v>
      </c>
      <c r="D5" s="36" t="s">
        <v>272</v>
      </c>
      <c r="E5" s="37" t="s">
        <v>271</v>
      </c>
      <c r="F5" s="37" t="s">
        <v>271</v>
      </c>
      <c r="G5" s="37" t="s">
        <v>271</v>
      </c>
      <c r="H5" s="36" t="s">
        <v>498</v>
      </c>
      <c r="I5" s="63"/>
      <c r="J5" s="35" t="s">
        <v>514</v>
      </c>
      <c r="K5" s="37" t="s">
        <v>323</v>
      </c>
    </row>
    <row r="6" spans="1:13" ht="42.75" customHeight="1" x14ac:dyDescent="0.3">
      <c r="D6" s="38" t="s">
        <v>516</v>
      </c>
      <c r="H6" s="21" t="s">
        <v>822</v>
      </c>
      <c r="I6" s="21" t="s">
        <v>468</v>
      </c>
      <c r="J6" s="38" t="s">
        <v>823</v>
      </c>
    </row>
    <row r="7" spans="1:13" ht="14.25" customHeight="1" x14ac:dyDescent="0.3">
      <c r="A7" s="23">
        <v>46253</v>
      </c>
      <c r="B7" s="10" t="s">
        <v>469</v>
      </c>
      <c r="C7" s="10" t="s">
        <v>400</v>
      </c>
      <c r="D7" s="10" t="s">
        <v>380</v>
      </c>
      <c r="E7" s="13">
        <v>2380</v>
      </c>
      <c r="F7" s="13">
        <v>2180</v>
      </c>
      <c r="G7" s="13">
        <v>90</v>
      </c>
      <c r="H7" s="10" t="s">
        <v>103</v>
      </c>
      <c r="I7" s="10" t="s">
        <v>90</v>
      </c>
      <c r="J7" s="43">
        <f t="shared" ref="J7:J13" si="0">IFERROR(G7/E7,0)</f>
        <v>3.7815126050420166E-2</v>
      </c>
      <c r="K7" s="10" t="s">
        <v>824</v>
      </c>
    </row>
    <row r="8" spans="1:13" ht="14.25" customHeight="1" x14ac:dyDescent="0.3">
      <c r="A8" s="23">
        <v>46254</v>
      </c>
      <c r="B8" s="10" t="s">
        <v>469</v>
      </c>
      <c r="C8" s="10" t="s">
        <v>400</v>
      </c>
      <c r="D8" s="10" t="s">
        <v>380</v>
      </c>
      <c r="E8" s="13">
        <v>2450</v>
      </c>
      <c r="F8" s="13">
        <v>2300</v>
      </c>
      <c r="G8" s="13">
        <v>70</v>
      </c>
      <c r="H8" s="10" t="s">
        <v>139</v>
      </c>
      <c r="I8" s="10" t="s">
        <v>125</v>
      </c>
      <c r="J8" s="43">
        <f t="shared" si="0"/>
        <v>2.8571428571428571E-2</v>
      </c>
      <c r="K8" s="10" t="s">
        <v>825</v>
      </c>
    </row>
    <row r="9" spans="1:13" ht="14.25" customHeight="1" x14ac:dyDescent="0.3">
      <c r="A9" s="23">
        <v>46256</v>
      </c>
      <c r="B9" s="10" t="s">
        <v>473</v>
      </c>
      <c r="C9" s="10" t="s">
        <v>404</v>
      </c>
      <c r="D9" s="10" t="s">
        <v>380</v>
      </c>
      <c r="E9" s="13">
        <v>3320</v>
      </c>
      <c r="F9" s="13">
        <v>3050</v>
      </c>
      <c r="G9" s="13">
        <v>140</v>
      </c>
      <c r="H9" s="10" t="s">
        <v>103</v>
      </c>
      <c r="I9" s="10" t="s">
        <v>255</v>
      </c>
      <c r="J9" s="43">
        <f t="shared" si="0"/>
        <v>4.2168674698795178E-2</v>
      </c>
      <c r="K9" s="10" t="s">
        <v>826</v>
      </c>
    </row>
    <row r="10" spans="1:13" ht="14.25" customHeight="1" x14ac:dyDescent="0.3">
      <c r="A10" s="23">
        <v>46258</v>
      </c>
      <c r="B10" s="10" t="s">
        <v>473</v>
      </c>
      <c r="C10" s="10" t="s">
        <v>404</v>
      </c>
      <c r="D10" s="10" t="s">
        <v>380</v>
      </c>
      <c r="E10" s="13">
        <v>3410</v>
      </c>
      <c r="F10" s="13">
        <v>3210</v>
      </c>
      <c r="G10" s="13">
        <v>95</v>
      </c>
      <c r="H10" s="10" t="s">
        <v>139</v>
      </c>
      <c r="I10" s="10" t="s">
        <v>188</v>
      </c>
      <c r="J10" s="43">
        <f t="shared" si="0"/>
        <v>2.7859237536656891E-2</v>
      </c>
      <c r="K10" s="10"/>
    </row>
    <row r="11" spans="1:13" ht="14.25" customHeight="1" x14ac:dyDescent="0.3">
      <c r="A11" s="23">
        <v>46259</v>
      </c>
      <c r="B11" s="10" t="s">
        <v>474</v>
      </c>
      <c r="C11" s="10" t="s">
        <v>407</v>
      </c>
      <c r="D11" s="10" t="s">
        <v>380</v>
      </c>
      <c r="E11" s="13">
        <v>1860</v>
      </c>
      <c r="F11" s="13">
        <v>1660</v>
      </c>
      <c r="G11" s="13">
        <v>110</v>
      </c>
      <c r="H11" s="10" t="s">
        <v>103</v>
      </c>
      <c r="I11" s="10" t="s">
        <v>257</v>
      </c>
      <c r="J11" s="43">
        <f t="shared" si="0"/>
        <v>5.9139784946236562E-2</v>
      </c>
      <c r="K11" s="10" t="s">
        <v>827</v>
      </c>
    </row>
    <row r="12" spans="1:13" ht="14.25" customHeight="1" x14ac:dyDescent="0.3">
      <c r="A12" s="23">
        <v>46261</v>
      </c>
      <c r="B12" s="10" t="s">
        <v>478</v>
      </c>
      <c r="C12" s="10" t="s">
        <v>411</v>
      </c>
      <c r="D12" s="10" t="s">
        <v>380</v>
      </c>
      <c r="E12" s="13">
        <v>4780</v>
      </c>
      <c r="F12" s="13">
        <v>4480</v>
      </c>
      <c r="G12" s="13">
        <v>160</v>
      </c>
      <c r="H12" s="10" t="s">
        <v>139</v>
      </c>
      <c r="I12" s="10" t="s">
        <v>259</v>
      </c>
      <c r="J12" s="43">
        <f t="shared" si="0"/>
        <v>3.3472803347280332E-2</v>
      </c>
      <c r="K12" s="10" t="s">
        <v>828</v>
      </c>
    </row>
    <row r="13" spans="1:13" ht="14.25" customHeight="1" x14ac:dyDescent="0.3">
      <c r="A13" s="23">
        <v>46263</v>
      </c>
      <c r="B13" s="10" t="s">
        <v>481</v>
      </c>
      <c r="C13" s="10" t="s">
        <v>418</v>
      </c>
      <c r="D13" s="10" t="s">
        <v>380</v>
      </c>
      <c r="E13" s="13">
        <v>2890</v>
      </c>
      <c r="F13" s="13">
        <v>2720</v>
      </c>
      <c r="G13" s="13">
        <v>85</v>
      </c>
      <c r="H13" s="10" t="s">
        <v>103</v>
      </c>
      <c r="I13" s="10" t="s">
        <v>256</v>
      </c>
      <c r="J13" s="43">
        <f t="shared" si="0"/>
        <v>2.9411764705882353E-2</v>
      </c>
      <c r="K13" s="10"/>
    </row>
  </sheetData>
  <mergeCells count="2">
    <mergeCell ref="C1:M1"/>
    <mergeCell ref="C2:M2"/>
  </mergeCells>
  <dataValidations count="5">
    <dataValidation type="list" allowBlank="1" errorTitle="Not in master" error="Value must be chosen from the master list." promptTitle="Master-driven list" prompt="Select from M_OrderNo" sqref="B7:B500" xr:uid="{00000000-0002-0000-1B00-000000000000}">
      <formula1>M_OrderNo</formula1>
      <formula2>0</formula2>
    </dataValidation>
    <dataValidation type="list" allowBlank="1" errorTitle="Not in master" error="Value must be chosen from the master list." promptTitle="Master-driven list" prompt="Select from M_StyleNo" sqref="C7:C500" xr:uid="{00000000-0002-0000-1B00-000001000000}">
      <formula1>M_StyleNo</formula1>
      <formula2>0</formula2>
    </dataValidation>
    <dataValidation type="list" allowBlank="1" errorTitle="Not in master" error="Value must be chosen from the master list." promptTitle="Master-driven list" prompt="Select from M_VendorName" sqref="D7:D500" xr:uid="{00000000-0002-0000-1B00-000002000000}">
      <formula1>M_VendorName</formula1>
      <formula2>0</formula2>
    </dataValidation>
    <dataValidation type="list" allowBlank="1" errorTitle="Not in master" error="Value must be chosen from the master list." promptTitle="Master-driven list" prompt="Select from L_SentFor" sqref="H7:H500" xr:uid="{00000000-0002-0000-1B00-000003000000}">
      <formula1>L_SentFor</formula1>
      <formula2>0</formula2>
    </dataValidation>
    <dataValidation type="list" allowBlank="1" errorTitle="Not in master" error="Value must be chosen from the master list." promptTitle="Master-driven list" prompt="Select from L_DefectType" sqref="I7:I500" xr:uid="{00000000-0002-0000-1B00-000004000000}">
      <formula1>L_DefectType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0B050"/>
  </sheetPr>
  <dimension ref="A1:J13"/>
  <sheetViews>
    <sheetView zoomScaleNormal="100" workbookViewId="0">
      <pane ySplit="6" topLeftCell="A7" activePane="bottomLeft" state="frozen"/>
      <selection pane="bottomLeft" activeCell="E6" sqref="E6"/>
    </sheetView>
  </sheetViews>
  <sheetFormatPr defaultColWidth="8.5546875" defaultRowHeight="14.4" x14ac:dyDescent="0.3"/>
  <cols>
    <col min="1" max="2" width="13" customWidth="1"/>
    <col min="3" max="3" width="26" customWidth="1"/>
    <col min="4" max="4" width="13" customWidth="1"/>
    <col min="5" max="5" width="32" customWidth="1"/>
    <col min="6" max="6" width="13" customWidth="1"/>
    <col min="7" max="7" width="21" customWidth="1"/>
    <col min="8" max="8" width="32" customWidth="1"/>
  </cols>
  <sheetData>
    <row r="1" spans="1:10" ht="21" customHeight="1" x14ac:dyDescent="0.3">
      <c r="A1" s="21" t="s">
        <v>748</v>
      </c>
      <c r="C1" s="77" t="s">
        <v>25</v>
      </c>
      <c r="D1" s="77"/>
      <c r="E1" s="77"/>
      <c r="F1" s="77"/>
      <c r="J1" s="27"/>
    </row>
    <row r="2" spans="1:10" ht="21" customHeight="1" x14ac:dyDescent="0.3">
      <c r="C2" s="78" t="s">
        <v>829</v>
      </c>
      <c r="D2" s="78"/>
      <c r="E2" s="78"/>
      <c r="F2" s="78"/>
    </row>
    <row r="4" spans="1:10" ht="15" customHeight="1" x14ac:dyDescent="0.3">
      <c r="A4" s="9" t="s">
        <v>457</v>
      </c>
      <c r="B4" s="9" t="s">
        <v>389</v>
      </c>
      <c r="C4" s="9" t="s">
        <v>830</v>
      </c>
      <c r="D4" s="9" t="s">
        <v>831</v>
      </c>
      <c r="E4" s="9" t="s">
        <v>832</v>
      </c>
      <c r="F4" s="9" t="s">
        <v>833</v>
      </c>
      <c r="G4" s="9" t="s">
        <v>834</v>
      </c>
      <c r="H4" s="9" t="s">
        <v>322</v>
      </c>
    </row>
    <row r="5" spans="1:10" ht="14.25" customHeight="1" x14ac:dyDescent="0.3">
      <c r="A5" s="28" t="s">
        <v>498</v>
      </c>
      <c r="B5" s="28" t="s">
        <v>498</v>
      </c>
      <c r="C5" s="46" t="s">
        <v>835</v>
      </c>
      <c r="D5" s="29" t="s">
        <v>608</v>
      </c>
      <c r="E5" s="29" t="s">
        <v>608</v>
      </c>
      <c r="F5" s="29" t="s">
        <v>608</v>
      </c>
      <c r="G5" s="46" t="s">
        <v>270</v>
      </c>
      <c r="H5" s="29" t="s">
        <v>546</v>
      </c>
    </row>
    <row r="6" spans="1:10" ht="14.25" customHeight="1" x14ac:dyDescent="0.3">
      <c r="C6" s="21" t="s">
        <v>836</v>
      </c>
      <c r="E6" s="21" t="s">
        <v>837</v>
      </c>
      <c r="F6" s="21" t="s">
        <v>838</v>
      </c>
    </row>
    <row r="7" spans="1:10" ht="14.25" customHeight="1" x14ac:dyDescent="0.3">
      <c r="A7" s="10" t="s">
        <v>469</v>
      </c>
      <c r="B7" s="10" t="s">
        <v>400</v>
      </c>
      <c r="C7" s="23">
        <v>46254</v>
      </c>
      <c r="D7" s="13">
        <v>110</v>
      </c>
      <c r="E7" s="13">
        <v>92</v>
      </c>
      <c r="F7" s="13">
        <v>18</v>
      </c>
      <c r="G7" s="43">
        <f t="shared" ref="G7:G13" si="0">IFERROR(F7/D7,0)</f>
        <v>0.16363636363636364</v>
      </c>
      <c r="H7" s="64" t="s">
        <v>839</v>
      </c>
    </row>
    <row r="8" spans="1:10" ht="14.25" customHeight="1" x14ac:dyDescent="0.3">
      <c r="A8" s="10" t="s">
        <v>469</v>
      </c>
      <c r="B8" s="10" t="s">
        <v>400</v>
      </c>
      <c r="C8" s="23">
        <v>46255</v>
      </c>
      <c r="D8" s="13">
        <v>80</v>
      </c>
      <c r="E8" s="13">
        <v>68</v>
      </c>
      <c r="F8" s="13">
        <v>12</v>
      </c>
      <c r="G8" s="43">
        <f t="shared" si="0"/>
        <v>0.15</v>
      </c>
      <c r="H8" s="64" t="s">
        <v>840</v>
      </c>
    </row>
    <row r="9" spans="1:10" ht="14.25" customHeight="1" x14ac:dyDescent="0.3">
      <c r="A9" s="10" t="s">
        <v>473</v>
      </c>
      <c r="B9" s="10" t="s">
        <v>404</v>
      </c>
      <c r="C9" s="23">
        <v>46257</v>
      </c>
      <c r="D9" s="13">
        <v>130</v>
      </c>
      <c r="E9" s="13">
        <v>105</v>
      </c>
      <c r="F9" s="13">
        <v>25</v>
      </c>
      <c r="G9" s="43">
        <f t="shared" si="0"/>
        <v>0.19230769230769232</v>
      </c>
      <c r="H9" s="64" t="s">
        <v>787</v>
      </c>
    </row>
    <row r="10" spans="1:10" ht="14.25" customHeight="1" x14ac:dyDescent="0.3">
      <c r="A10" s="10" t="s">
        <v>473</v>
      </c>
      <c r="B10" s="10" t="s">
        <v>404</v>
      </c>
      <c r="C10" s="23">
        <v>46259</v>
      </c>
      <c r="D10" s="13">
        <v>95</v>
      </c>
      <c r="E10" s="13">
        <v>74</v>
      </c>
      <c r="F10" s="13">
        <v>21</v>
      </c>
      <c r="G10" s="43">
        <f t="shared" si="0"/>
        <v>0.22105263157894736</v>
      </c>
      <c r="H10" s="64" t="s">
        <v>841</v>
      </c>
    </row>
    <row r="11" spans="1:10" ht="14.25" customHeight="1" x14ac:dyDescent="0.3">
      <c r="A11" s="10" t="s">
        <v>474</v>
      </c>
      <c r="B11" s="10" t="s">
        <v>407</v>
      </c>
      <c r="C11" s="23">
        <v>46260</v>
      </c>
      <c r="D11" s="13">
        <v>110</v>
      </c>
      <c r="E11" s="13">
        <v>88</v>
      </c>
      <c r="F11" s="13">
        <v>22</v>
      </c>
      <c r="G11" s="43">
        <f t="shared" si="0"/>
        <v>0.2</v>
      </c>
      <c r="H11" s="64" t="s">
        <v>842</v>
      </c>
    </row>
    <row r="12" spans="1:10" ht="14.25" customHeight="1" x14ac:dyDescent="0.3">
      <c r="A12" s="10" t="s">
        <v>478</v>
      </c>
      <c r="B12" s="10" t="s">
        <v>411</v>
      </c>
      <c r="C12" s="23">
        <v>46262</v>
      </c>
      <c r="D12" s="13">
        <v>140</v>
      </c>
      <c r="E12" s="13">
        <v>121</v>
      </c>
      <c r="F12" s="13">
        <v>19</v>
      </c>
      <c r="G12" s="43">
        <f t="shared" si="0"/>
        <v>0.1357142857142857</v>
      </c>
      <c r="H12" s="64" t="s">
        <v>843</v>
      </c>
    </row>
    <row r="13" spans="1:10" ht="14.25" customHeight="1" x14ac:dyDescent="0.3">
      <c r="A13" s="10" t="s">
        <v>481</v>
      </c>
      <c r="B13" s="10" t="s">
        <v>418</v>
      </c>
      <c r="C13" s="23">
        <v>46264</v>
      </c>
      <c r="D13" s="13">
        <v>85</v>
      </c>
      <c r="E13" s="13">
        <v>62</v>
      </c>
      <c r="F13" s="13">
        <v>23</v>
      </c>
      <c r="G13" s="43">
        <f t="shared" si="0"/>
        <v>0.27058823529411763</v>
      </c>
      <c r="H13" s="64" t="s">
        <v>844</v>
      </c>
    </row>
  </sheetData>
  <mergeCells count="2">
    <mergeCell ref="C1:F1"/>
    <mergeCell ref="C2:F2"/>
  </mergeCells>
  <dataValidations count="2">
    <dataValidation type="list" allowBlank="1" errorTitle="Not in master" error="Value must be chosen from the master list." promptTitle="Master-driven list" prompt="Select from M_OrderNo" sqref="A7:A500" xr:uid="{00000000-0002-0000-1C00-000000000000}">
      <formula1>M_OrderNo</formula1>
      <formula2>0</formula2>
    </dataValidation>
    <dataValidation type="list" allowBlank="1" errorTitle="Not in master" error="Value must be chosen from the master list." promptTitle="Master-driven list" prompt="Select from M_StyleNo" sqref="B7:B500" xr:uid="{00000000-0002-0000-1C00-000001000000}">
      <formula1>M_StyleNo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0B050"/>
  </sheetPr>
  <dimension ref="A1:L13"/>
  <sheetViews>
    <sheetView showGridLines="0" zoomScaleNormal="100" workbookViewId="0">
      <pane ySplit="6" topLeftCell="A8" activePane="bottomLeft" state="frozen"/>
      <selection pane="bottomLeft"/>
    </sheetView>
  </sheetViews>
  <sheetFormatPr defaultColWidth="8.5546875" defaultRowHeight="14.4" x14ac:dyDescent="0.3"/>
  <cols>
    <col min="1" max="4" width="32" customWidth="1"/>
    <col min="5" max="5" width="39" customWidth="1"/>
    <col min="6" max="6" width="26" customWidth="1"/>
    <col min="7" max="7" width="32" customWidth="1"/>
    <col min="8" max="8" width="24" customWidth="1"/>
    <col min="9" max="9" width="26" customWidth="1"/>
    <col min="10" max="10" width="14" customWidth="1"/>
  </cols>
  <sheetData>
    <row r="1" spans="1:12" ht="21" customHeight="1" x14ac:dyDescent="0.3">
      <c r="A1" s="8" t="s">
        <v>845</v>
      </c>
      <c r="C1" s="77" t="s">
        <v>25</v>
      </c>
      <c r="D1" s="77"/>
      <c r="E1" s="77"/>
      <c r="F1" s="77"/>
      <c r="G1" s="77"/>
      <c r="H1" s="77"/>
      <c r="I1" s="77"/>
      <c r="J1" s="77"/>
      <c r="K1" s="77"/>
      <c r="L1" s="77"/>
    </row>
    <row r="2" spans="1:12" ht="21" customHeight="1" x14ac:dyDescent="0.3">
      <c r="A2" s="2"/>
      <c r="C2" s="78" t="s">
        <v>846</v>
      </c>
      <c r="D2" s="78"/>
      <c r="E2" s="78"/>
      <c r="F2" s="78"/>
      <c r="G2" s="78"/>
      <c r="H2" s="78"/>
      <c r="I2" s="78"/>
      <c r="J2" s="78"/>
      <c r="K2" s="78"/>
      <c r="L2" s="78"/>
    </row>
    <row r="3" spans="1:12" ht="12" customHeight="1" x14ac:dyDescent="0.3"/>
    <row r="4" spans="1:12" ht="30" customHeight="1" x14ac:dyDescent="0.3">
      <c r="A4" s="9" t="s">
        <v>493</v>
      </c>
      <c r="B4" s="9" t="s">
        <v>457</v>
      </c>
      <c r="C4" s="9" t="s">
        <v>389</v>
      </c>
      <c r="D4" s="9" t="s">
        <v>847</v>
      </c>
      <c r="E4" s="9" t="s">
        <v>848</v>
      </c>
      <c r="F4" s="9" t="s">
        <v>849</v>
      </c>
      <c r="G4" s="9" t="s">
        <v>850</v>
      </c>
      <c r="H4" s="9" t="s">
        <v>512</v>
      </c>
      <c r="I4" s="9" t="s">
        <v>322</v>
      </c>
    </row>
    <row r="5" spans="1:12" ht="14.25" customHeight="1" x14ac:dyDescent="0.3">
      <c r="A5" s="35" t="s">
        <v>270</v>
      </c>
      <c r="B5" s="35" t="s">
        <v>631</v>
      </c>
      <c r="C5" s="35" t="s">
        <v>631</v>
      </c>
      <c r="D5" s="37" t="s">
        <v>271</v>
      </c>
      <c r="E5" s="37" t="s">
        <v>271</v>
      </c>
      <c r="F5" s="37" t="s">
        <v>271</v>
      </c>
      <c r="G5" s="35" t="s">
        <v>514</v>
      </c>
      <c r="H5" s="36" t="s">
        <v>272</v>
      </c>
      <c r="I5" s="37" t="s">
        <v>323</v>
      </c>
    </row>
    <row r="6" spans="1:12" ht="42.75" customHeight="1" x14ac:dyDescent="0.3">
      <c r="G6" s="38" t="s">
        <v>851</v>
      </c>
    </row>
    <row r="7" spans="1:12" ht="14.25" customHeight="1" x14ac:dyDescent="0.3">
      <c r="A7" s="23">
        <v>46255</v>
      </c>
      <c r="B7" s="10" t="s">
        <v>469</v>
      </c>
      <c r="C7" s="10" t="s">
        <v>400</v>
      </c>
      <c r="D7" s="13">
        <v>90</v>
      </c>
      <c r="E7" s="13">
        <v>40</v>
      </c>
      <c r="F7" s="13">
        <v>32</v>
      </c>
      <c r="G7" s="43">
        <f>IFERROR(F7/INDEX(Order!$H$7:$H$500,MATCH(B7,Order!$A$7:$A$500,0)),0)</f>
        <v>6.4000000000000003E-3</v>
      </c>
      <c r="H7" s="10" t="s">
        <v>96</v>
      </c>
      <c r="I7" s="10" t="s">
        <v>852</v>
      </c>
    </row>
    <row r="8" spans="1:12" ht="14.25" customHeight="1" x14ac:dyDescent="0.3">
      <c r="A8" s="23">
        <v>46256</v>
      </c>
      <c r="B8" s="10" t="s">
        <v>469</v>
      </c>
      <c r="C8" s="10" t="s">
        <v>400</v>
      </c>
      <c r="D8" s="13">
        <v>70</v>
      </c>
      <c r="E8" s="13">
        <v>35</v>
      </c>
      <c r="F8" s="13">
        <v>24</v>
      </c>
      <c r="G8" s="43">
        <f>IFERROR(F8/INDEX(Order!$H$7:$H$500,MATCH(B8,Order!$A$7:$A$500,0)),0)</f>
        <v>4.7999999999999996E-3</v>
      </c>
      <c r="H8" s="10" t="s">
        <v>96</v>
      </c>
      <c r="I8" s="10"/>
    </row>
    <row r="9" spans="1:12" ht="14.25" customHeight="1" x14ac:dyDescent="0.3">
      <c r="A9" s="23">
        <v>46258</v>
      </c>
      <c r="B9" s="10" t="s">
        <v>473</v>
      </c>
      <c r="C9" s="10" t="s">
        <v>404</v>
      </c>
      <c r="D9" s="13">
        <v>140</v>
      </c>
      <c r="E9" s="13">
        <v>60</v>
      </c>
      <c r="F9" s="13">
        <v>55</v>
      </c>
      <c r="G9" s="43">
        <f>IFERROR(F9/INDEX(Order!$H$7:$H$500,MATCH(B9,Order!$A$7:$A$500,0)),0)</f>
        <v>7.8571428571428577E-3</v>
      </c>
      <c r="H9" s="10" t="s">
        <v>96</v>
      </c>
      <c r="I9" s="10" t="s">
        <v>853</v>
      </c>
    </row>
    <row r="10" spans="1:12" ht="14.25" customHeight="1" x14ac:dyDescent="0.3">
      <c r="A10" s="23">
        <v>46260</v>
      </c>
      <c r="B10" s="10" t="s">
        <v>473</v>
      </c>
      <c r="C10" s="10" t="s">
        <v>404</v>
      </c>
      <c r="D10" s="13">
        <v>95</v>
      </c>
      <c r="E10" s="13">
        <v>45</v>
      </c>
      <c r="F10" s="13">
        <v>34</v>
      </c>
      <c r="G10" s="43">
        <f>IFERROR(F10/INDEX(Order!$H$7:$H$500,MATCH(B10,Order!$A$7:$A$500,0)),0)</f>
        <v>4.8571428571428567E-3</v>
      </c>
      <c r="H10" s="10" t="s">
        <v>96</v>
      </c>
      <c r="I10" s="10"/>
    </row>
    <row r="11" spans="1:12" ht="14.25" customHeight="1" x14ac:dyDescent="0.3">
      <c r="A11" s="23">
        <v>46261</v>
      </c>
      <c r="B11" s="10" t="s">
        <v>474</v>
      </c>
      <c r="C11" s="10" t="s">
        <v>407</v>
      </c>
      <c r="D11" s="13">
        <v>110</v>
      </c>
      <c r="E11" s="13">
        <v>48</v>
      </c>
      <c r="F11" s="13">
        <v>42</v>
      </c>
      <c r="G11" s="43">
        <f>IFERROR(F11/INDEX(Order!$H$7:$H$500,MATCH(B11,Order!$A$7:$A$500,0)),0)</f>
        <v>1.0500000000000001E-2</v>
      </c>
      <c r="H11" s="10" t="s">
        <v>96</v>
      </c>
      <c r="I11" s="10" t="s">
        <v>854</v>
      </c>
    </row>
    <row r="12" spans="1:12" ht="14.25" customHeight="1" x14ac:dyDescent="0.3">
      <c r="A12" s="23">
        <v>46263</v>
      </c>
      <c r="B12" s="10" t="s">
        <v>478</v>
      </c>
      <c r="C12" s="10" t="s">
        <v>411</v>
      </c>
      <c r="D12" s="13">
        <v>160</v>
      </c>
      <c r="E12" s="13">
        <v>72</v>
      </c>
      <c r="F12" s="13">
        <v>60</v>
      </c>
      <c r="G12" s="43">
        <f>IFERROR(F12/INDEX(Order!$H$7:$H$500,MATCH(B12,Order!$A$7:$A$500,0)),0)</f>
        <v>6.0000000000000001E-3</v>
      </c>
      <c r="H12" s="10" t="s">
        <v>96</v>
      </c>
      <c r="I12" s="10" t="s">
        <v>855</v>
      </c>
    </row>
    <row r="13" spans="1:12" ht="14.25" customHeight="1" x14ac:dyDescent="0.3">
      <c r="A13" s="23">
        <v>46265</v>
      </c>
      <c r="B13" s="10" t="s">
        <v>481</v>
      </c>
      <c r="C13" s="10" t="s">
        <v>418</v>
      </c>
      <c r="D13" s="13">
        <v>85</v>
      </c>
      <c r="E13" s="13">
        <v>36</v>
      </c>
      <c r="F13" s="13">
        <v>31</v>
      </c>
      <c r="G13" s="43">
        <f>IFERROR(F13/INDEX(Order!$H$7:$H$500,MATCH(B13,Order!$A$7:$A$500,0)),0)</f>
        <v>5.1666666666666666E-3</v>
      </c>
      <c r="H13" s="10" t="s">
        <v>96</v>
      </c>
      <c r="I13" s="10" t="s">
        <v>856</v>
      </c>
    </row>
  </sheetData>
  <mergeCells count="2">
    <mergeCell ref="C1:L1"/>
    <mergeCell ref="C2:L2"/>
  </mergeCells>
  <dataValidations count="3">
    <dataValidation type="list" allowBlank="1" errorTitle="Not in master" error="Value must be chosen from the master list." promptTitle="Master-driven list" prompt="Select from M_OrderNo" sqref="B7:B500" xr:uid="{00000000-0002-0000-1D00-000000000000}">
      <formula1>M_OrderNo</formula1>
      <formula2>0</formula2>
    </dataValidation>
    <dataValidation type="list" allowBlank="1" errorTitle="Not in master" error="Value must be chosen from the master list." promptTitle="Master-driven list" prompt="Select from M_StyleNo" sqref="C7:C500" xr:uid="{00000000-0002-0000-1D00-000001000000}">
      <formula1>M_StyleNo</formula1>
      <formula2>0</formula2>
    </dataValidation>
    <dataValidation type="list" allowBlank="1" errorTitle="Not in master" error="Value must be chosen from the master list." promptTitle="Master-driven list" prompt="Select from L_AuthorisedBy" sqref="H7:H500" xr:uid="{00000000-0002-0000-1D00-000002000000}">
      <formula1>L_AuthorisedBy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00B050"/>
  </sheetPr>
  <dimension ref="A1:I13"/>
  <sheetViews>
    <sheetView zoomScaleNormal="100" workbookViewId="0">
      <pane ySplit="6" topLeftCell="A7" activePane="bottomLeft" state="frozen"/>
      <selection pane="bottomLeft" activeCell="B17" sqref="B17"/>
    </sheetView>
  </sheetViews>
  <sheetFormatPr defaultColWidth="8.5546875" defaultRowHeight="14.4" x14ac:dyDescent="0.3"/>
  <cols>
    <col min="1" max="1" width="26.44140625" bestFit="1" customWidth="1"/>
    <col min="2" max="2" width="24" customWidth="1"/>
    <col min="3" max="3" width="11" customWidth="1"/>
    <col min="4" max="4" width="12" customWidth="1"/>
    <col min="5" max="5" width="14" customWidth="1"/>
    <col min="6" max="6" width="18" customWidth="1"/>
    <col min="7" max="8" width="14.77734375" customWidth="1"/>
  </cols>
  <sheetData>
    <row r="1" spans="1:9" ht="21" customHeight="1" x14ac:dyDescent="0.3">
      <c r="A1" s="21" t="s">
        <v>765</v>
      </c>
      <c r="B1" s="77" t="s">
        <v>25</v>
      </c>
      <c r="C1" s="77"/>
      <c r="D1" s="77"/>
      <c r="E1" s="77"/>
      <c r="F1" s="77"/>
      <c r="H1" s="27"/>
    </row>
    <row r="2" spans="1:9" ht="21" customHeight="1" x14ac:dyDescent="0.3">
      <c r="B2" s="78" t="s">
        <v>857</v>
      </c>
      <c r="C2" s="78"/>
      <c r="D2" s="78"/>
      <c r="E2" s="78"/>
      <c r="F2" s="78"/>
    </row>
    <row r="3" spans="1:9" ht="18" customHeight="1" x14ac:dyDescent="0.35">
      <c r="G3" s="30"/>
      <c r="H3" s="30"/>
      <c r="I3" s="14"/>
    </row>
    <row r="4" spans="1:9" ht="15" customHeight="1" x14ac:dyDescent="0.3">
      <c r="A4" s="9" t="s">
        <v>858</v>
      </c>
      <c r="B4" s="9" t="s">
        <v>389</v>
      </c>
      <c r="C4" s="9" t="s">
        <v>463</v>
      </c>
      <c r="D4" s="9" t="s">
        <v>859</v>
      </c>
      <c r="E4" s="9" t="s">
        <v>860</v>
      </c>
      <c r="F4" s="9" t="s">
        <v>861</v>
      </c>
    </row>
    <row r="5" spans="1:9" ht="14.25" customHeight="1" x14ac:dyDescent="0.3">
      <c r="A5" s="54" t="s">
        <v>270</v>
      </c>
      <c r="B5" s="56" t="s">
        <v>271</v>
      </c>
      <c r="C5" s="54" t="s">
        <v>270</v>
      </c>
      <c r="D5" s="56" t="s">
        <v>862</v>
      </c>
      <c r="E5" s="55" t="s">
        <v>498</v>
      </c>
      <c r="F5" s="55" t="s">
        <v>498</v>
      </c>
    </row>
    <row r="6" spans="1:9" ht="43.5" customHeight="1" x14ac:dyDescent="0.3">
      <c r="B6" s="65"/>
      <c r="C6" s="19"/>
      <c r="D6" s="19"/>
      <c r="E6" s="21" t="s">
        <v>468</v>
      </c>
      <c r="F6" s="21" t="s">
        <v>468</v>
      </c>
      <c r="G6" s="19"/>
    </row>
    <row r="7" spans="1:9" ht="14.25" customHeight="1" x14ac:dyDescent="0.3">
      <c r="A7" s="10" t="s">
        <v>469</v>
      </c>
      <c r="B7" s="10" t="s">
        <v>400</v>
      </c>
      <c r="C7" s="13">
        <v>5000</v>
      </c>
      <c r="D7" s="13">
        <v>4780</v>
      </c>
      <c r="E7" s="10" t="s">
        <v>438</v>
      </c>
      <c r="F7" s="10" t="s">
        <v>101</v>
      </c>
    </row>
    <row r="8" spans="1:9" ht="14.25" customHeight="1" x14ac:dyDescent="0.3">
      <c r="A8" s="10" t="s">
        <v>473</v>
      </c>
      <c r="B8" s="10" t="s">
        <v>404</v>
      </c>
      <c r="C8" s="13">
        <v>7000</v>
      </c>
      <c r="D8" s="13">
        <v>6620</v>
      </c>
      <c r="E8" s="10" t="s">
        <v>441</v>
      </c>
      <c r="F8" s="10" t="s">
        <v>137</v>
      </c>
    </row>
    <row r="9" spans="1:9" ht="14.25" customHeight="1" x14ac:dyDescent="0.3">
      <c r="A9" s="10" t="s">
        <v>474</v>
      </c>
      <c r="B9" s="10" t="s">
        <v>407</v>
      </c>
      <c r="C9" s="13">
        <v>4000</v>
      </c>
      <c r="D9" s="13">
        <v>1660</v>
      </c>
      <c r="E9" s="10" t="s">
        <v>438</v>
      </c>
      <c r="F9" s="10" t="s">
        <v>101</v>
      </c>
    </row>
    <row r="10" spans="1:9" ht="14.25" customHeight="1" x14ac:dyDescent="0.3">
      <c r="A10" s="10" t="s">
        <v>478</v>
      </c>
      <c r="B10" s="10" t="s">
        <v>411</v>
      </c>
      <c r="C10" s="13">
        <v>10000</v>
      </c>
      <c r="D10" s="13">
        <v>4480</v>
      </c>
      <c r="E10" s="10" t="s">
        <v>441</v>
      </c>
      <c r="F10" s="10" t="s">
        <v>243</v>
      </c>
    </row>
    <row r="11" spans="1:9" ht="14.25" customHeight="1" x14ac:dyDescent="0.3">
      <c r="A11" s="10" t="s">
        <v>481</v>
      </c>
      <c r="B11" s="10" t="s">
        <v>418</v>
      </c>
      <c r="C11" s="13">
        <v>6000</v>
      </c>
      <c r="D11" s="13">
        <v>2720</v>
      </c>
      <c r="E11" s="10" t="s">
        <v>438</v>
      </c>
      <c r="F11" s="10" t="s">
        <v>168</v>
      </c>
    </row>
    <row r="12" spans="1:9" ht="14.25" customHeight="1" x14ac:dyDescent="0.3">
      <c r="A12" s="10" t="s">
        <v>484</v>
      </c>
      <c r="B12" s="10" t="s">
        <v>422</v>
      </c>
      <c r="C12" s="13">
        <v>3500</v>
      </c>
      <c r="D12" s="13">
        <v>0</v>
      </c>
      <c r="E12" s="10" t="s">
        <v>441</v>
      </c>
      <c r="F12" s="10" t="s">
        <v>215</v>
      </c>
    </row>
    <row r="13" spans="1:9" ht="14.25" customHeight="1" x14ac:dyDescent="0.3">
      <c r="A13" s="10" t="s">
        <v>487</v>
      </c>
      <c r="B13" s="10" t="s">
        <v>415</v>
      </c>
      <c r="C13" s="13">
        <v>8000</v>
      </c>
      <c r="D13" s="13">
        <v>0</v>
      </c>
      <c r="E13" s="10" t="s">
        <v>438</v>
      </c>
      <c r="F13" s="10" t="s">
        <v>194</v>
      </c>
    </row>
  </sheetData>
  <mergeCells count="2">
    <mergeCell ref="B1:F1"/>
    <mergeCell ref="B2:F2"/>
  </mergeCells>
  <dataValidations count="4">
    <dataValidation type="list" allowBlank="1" errorTitle="Not in master" error="Value must be chosen from the master list." promptTitle="Master-driven list" prompt="Select from M_OrderNo" sqref="A7:A500" xr:uid="{00000000-0002-0000-1E00-000000000000}">
      <formula1>M_OrderNo</formula1>
      <formula2>0</formula2>
    </dataValidation>
    <dataValidation type="list" allowBlank="1" errorTitle="Not in master" error="Value must be chosen from the master list." promptTitle="Master-driven list" prompt="Select from M_StyleNo" sqref="B7:B500" xr:uid="{00000000-0002-0000-1E00-000001000000}">
      <formula1>M_StyleNo</formula1>
      <formula2>0</formula2>
    </dataValidation>
    <dataValidation type="list" allowBlank="1" errorTitle="Not in master" error="Value must be chosen from the master list." promptTitle="Master-driven list" prompt="Select from M_EmpName" sqref="E7:E500" xr:uid="{00000000-0002-0000-1E00-000002000000}">
      <formula1>M_EmpName</formula1>
      <formula2>0</formula2>
    </dataValidation>
    <dataValidation type="list" allowBlank="1" errorTitle="Not in master" error="Value must be chosen from the master list." promptTitle="Master-driven list" prompt="Select from L_RejectReason" sqref="F7:F500" xr:uid="{00000000-0002-0000-1E00-000003000000}">
      <formula1>L_RejectReason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00B050"/>
  </sheetPr>
  <dimension ref="A1:N13"/>
  <sheetViews>
    <sheetView zoomScaleNormal="100" workbookViewId="0">
      <pane ySplit="6" topLeftCell="A7" activePane="bottomLeft" state="frozen"/>
      <selection pane="bottomLeft" activeCell="H19" sqref="H19"/>
    </sheetView>
  </sheetViews>
  <sheetFormatPr defaultColWidth="8.5546875" defaultRowHeight="14.4" x14ac:dyDescent="0.3"/>
  <cols>
    <col min="1" max="1" width="13" customWidth="1"/>
    <col min="2" max="2" width="21" customWidth="1"/>
    <col min="3" max="3" width="13" customWidth="1"/>
    <col min="4" max="4" width="11" customWidth="1"/>
    <col min="5" max="5" width="13" customWidth="1"/>
    <col min="6" max="6" width="16" customWidth="1"/>
    <col min="7" max="7" width="14" customWidth="1"/>
    <col min="8" max="8" width="11" customWidth="1"/>
    <col min="9" max="9" width="12" customWidth="1"/>
    <col min="10" max="10" width="14" customWidth="1"/>
    <col min="11" max="11" width="11.5546875" customWidth="1"/>
    <col min="12" max="12" width="13" customWidth="1"/>
  </cols>
  <sheetData>
    <row r="1" spans="1:14" ht="21" customHeight="1" x14ac:dyDescent="0.3">
      <c r="A1" s="21" t="s">
        <v>863</v>
      </c>
      <c r="F1" s="77" t="s">
        <v>25</v>
      </c>
      <c r="G1" s="77"/>
      <c r="H1" s="77"/>
      <c r="N1" s="27"/>
    </row>
    <row r="2" spans="1:14" ht="21" customHeight="1" x14ac:dyDescent="0.3">
      <c r="F2" s="78" t="s">
        <v>864</v>
      </c>
      <c r="G2" s="78"/>
      <c r="H2" s="78"/>
    </row>
    <row r="3" spans="1:14" ht="18" customHeight="1" x14ac:dyDescent="0.35">
      <c r="E3" s="14"/>
      <c r="F3" s="14"/>
      <c r="G3" s="14"/>
    </row>
    <row r="4" spans="1:14" ht="15" customHeight="1" x14ac:dyDescent="0.3">
      <c r="A4" s="9" t="s">
        <v>457</v>
      </c>
      <c r="B4" s="9" t="s">
        <v>493</v>
      </c>
      <c r="C4" s="9" t="s">
        <v>865</v>
      </c>
      <c r="D4" s="9" t="s">
        <v>463</v>
      </c>
      <c r="E4" s="9" t="s">
        <v>866</v>
      </c>
      <c r="F4" s="9" t="s">
        <v>867</v>
      </c>
      <c r="G4" s="9" t="s">
        <v>868</v>
      </c>
      <c r="H4" s="9" t="s">
        <v>869</v>
      </c>
      <c r="I4" s="9" t="s">
        <v>870</v>
      </c>
      <c r="J4" s="9" t="s">
        <v>871</v>
      </c>
      <c r="K4" s="9" t="s">
        <v>872</v>
      </c>
      <c r="L4" s="9" t="s">
        <v>269</v>
      </c>
    </row>
    <row r="5" spans="1:14" ht="14.25" customHeight="1" x14ac:dyDescent="0.3">
      <c r="A5" s="16" t="s">
        <v>270</v>
      </c>
      <c r="B5" s="16" t="s">
        <v>270</v>
      </c>
      <c r="C5" s="18" t="s">
        <v>272</v>
      </c>
      <c r="D5" s="16" t="s">
        <v>270</v>
      </c>
      <c r="E5" s="17" t="s">
        <v>271</v>
      </c>
      <c r="F5" s="17" t="s">
        <v>271</v>
      </c>
      <c r="G5" s="17" t="s">
        <v>271</v>
      </c>
      <c r="H5" s="16" t="s">
        <v>270</v>
      </c>
      <c r="I5" s="17" t="s">
        <v>271</v>
      </c>
      <c r="J5" s="16" t="s">
        <v>270</v>
      </c>
      <c r="K5" s="42" t="s">
        <v>873</v>
      </c>
      <c r="L5" s="18" t="s">
        <v>272</v>
      </c>
    </row>
    <row r="6" spans="1:14" ht="14.25" customHeight="1" x14ac:dyDescent="0.3">
      <c r="C6" s="21" t="s">
        <v>468</v>
      </c>
      <c r="H6" s="21" t="s">
        <v>611</v>
      </c>
      <c r="K6" s="21" t="s">
        <v>874</v>
      </c>
    </row>
    <row r="7" spans="1:14" ht="14.25" customHeight="1" x14ac:dyDescent="0.3">
      <c r="A7" s="10" t="s">
        <v>469</v>
      </c>
      <c r="B7" s="23">
        <v>46256</v>
      </c>
      <c r="C7" s="10" t="s">
        <v>400</v>
      </c>
      <c r="D7" s="24">
        <v>5000</v>
      </c>
      <c r="E7" s="24">
        <v>4780</v>
      </c>
      <c r="F7" s="24">
        <v>1000</v>
      </c>
      <c r="G7" s="24">
        <v>1200</v>
      </c>
      <c r="H7" s="47">
        <f t="shared" ref="H7:H13" si="0">F7+G7</f>
        <v>2200</v>
      </c>
      <c r="I7" s="13">
        <v>40</v>
      </c>
      <c r="J7" s="13">
        <v>48</v>
      </c>
      <c r="K7" s="47">
        <f t="shared" ref="K7:K13" si="1">I7+J7</f>
        <v>88</v>
      </c>
      <c r="L7" s="10" t="s">
        <v>126</v>
      </c>
    </row>
    <row r="8" spans="1:14" ht="14.25" customHeight="1" x14ac:dyDescent="0.3">
      <c r="A8" s="10" t="s">
        <v>469</v>
      </c>
      <c r="B8" s="23">
        <v>46257</v>
      </c>
      <c r="C8" s="10" t="s">
        <v>400</v>
      </c>
      <c r="D8" s="24">
        <v>5000</v>
      </c>
      <c r="E8" s="24">
        <v>4780</v>
      </c>
      <c r="F8" s="24">
        <v>1200</v>
      </c>
      <c r="G8" s="24">
        <v>1380</v>
      </c>
      <c r="H8" s="47">
        <f t="shared" si="0"/>
        <v>2580</v>
      </c>
      <c r="I8" s="13">
        <v>48</v>
      </c>
      <c r="J8" s="13">
        <v>55</v>
      </c>
      <c r="K8" s="47">
        <f t="shared" si="1"/>
        <v>103</v>
      </c>
      <c r="L8" s="10" t="s">
        <v>162</v>
      </c>
    </row>
    <row r="9" spans="1:14" ht="14.25" customHeight="1" x14ac:dyDescent="0.3">
      <c r="A9" s="10" t="s">
        <v>473</v>
      </c>
      <c r="B9" s="23">
        <v>46259</v>
      </c>
      <c r="C9" s="10" t="s">
        <v>404</v>
      </c>
      <c r="D9" s="24">
        <v>7000</v>
      </c>
      <c r="E9" s="24">
        <v>6620</v>
      </c>
      <c r="F9" s="24">
        <v>1500</v>
      </c>
      <c r="G9" s="24">
        <v>1700</v>
      </c>
      <c r="H9" s="47">
        <f t="shared" si="0"/>
        <v>3200</v>
      </c>
      <c r="I9" s="13">
        <v>60</v>
      </c>
      <c r="J9" s="13">
        <v>68</v>
      </c>
      <c r="K9" s="47">
        <f t="shared" si="1"/>
        <v>128</v>
      </c>
      <c r="L9" s="10" t="s">
        <v>126</v>
      </c>
    </row>
    <row r="10" spans="1:14" ht="14.25" customHeight="1" x14ac:dyDescent="0.3">
      <c r="A10" s="10" t="s">
        <v>473</v>
      </c>
      <c r="B10" s="23">
        <v>46261</v>
      </c>
      <c r="C10" s="10" t="s">
        <v>404</v>
      </c>
      <c r="D10" s="24">
        <v>7000</v>
      </c>
      <c r="E10" s="24">
        <v>6620</v>
      </c>
      <c r="F10" s="24">
        <v>1600</v>
      </c>
      <c r="G10" s="24">
        <v>1820</v>
      </c>
      <c r="H10" s="47">
        <f t="shared" si="0"/>
        <v>3420</v>
      </c>
      <c r="I10" s="13">
        <v>64</v>
      </c>
      <c r="J10" s="13">
        <v>73</v>
      </c>
      <c r="K10" s="47">
        <f t="shared" si="1"/>
        <v>137</v>
      </c>
      <c r="L10" s="10" t="s">
        <v>126</v>
      </c>
    </row>
    <row r="11" spans="1:14" ht="14.25" customHeight="1" x14ac:dyDescent="0.3">
      <c r="A11" s="10" t="s">
        <v>474</v>
      </c>
      <c r="B11" s="23">
        <v>46262</v>
      </c>
      <c r="C11" s="10" t="s">
        <v>407</v>
      </c>
      <c r="D11" s="24">
        <v>4000</v>
      </c>
      <c r="E11" s="24">
        <v>1660</v>
      </c>
      <c r="F11" s="24">
        <v>800</v>
      </c>
      <c r="G11" s="24">
        <v>860</v>
      </c>
      <c r="H11" s="47">
        <f t="shared" si="0"/>
        <v>1660</v>
      </c>
      <c r="I11" s="13">
        <v>32</v>
      </c>
      <c r="J11" s="13">
        <v>34</v>
      </c>
      <c r="K11" s="47">
        <f t="shared" si="1"/>
        <v>66</v>
      </c>
      <c r="L11" s="10" t="s">
        <v>126</v>
      </c>
    </row>
    <row r="12" spans="1:14" ht="14.25" customHeight="1" x14ac:dyDescent="0.3">
      <c r="A12" s="10" t="s">
        <v>478</v>
      </c>
      <c r="B12" s="23">
        <v>46264</v>
      </c>
      <c r="C12" s="10" t="s">
        <v>411</v>
      </c>
      <c r="D12" s="24">
        <v>10000</v>
      </c>
      <c r="E12" s="24">
        <v>4480</v>
      </c>
      <c r="F12" s="24">
        <v>2200</v>
      </c>
      <c r="G12" s="24">
        <v>2280</v>
      </c>
      <c r="H12" s="47">
        <f t="shared" si="0"/>
        <v>4480</v>
      </c>
      <c r="I12" s="13">
        <v>88</v>
      </c>
      <c r="J12" s="13">
        <v>91</v>
      </c>
      <c r="K12" s="47">
        <f t="shared" si="1"/>
        <v>179</v>
      </c>
      <c r="L12" s="10" t="s">
        <v>126</v>
      </c>
    </row>
    <row r="13" spans="1:14" ht="14.25" customHeight="1" x14ac:dyDescent="0.3">
      <c r="A13" s="10" t="s">
        <v>481</v>
      </c>
      <c r="B13" s="23">
        <v>46266</v>
      </c>
      <c r="C13" s="10" t="s">
        <v>418</v>
      </c>
      <c r="D13" s="24">
        <v>6000</v>
      </c>
      <c r="E13" s="24">
        <v>2720</v>
      </c>
      <c r="F13" s="24">
        <v>1300</v>
      </c>
      <c r="G13" s="24">
        <v>1420</v>
      </c>
      <c r="H13" s="47">
        <f t="shared" si="0"/>
        <v>2720</v>
      </c>
      <c r="I13" s="13">
        <v>52</v>
      </c>
      <c r="J13" s="13">
        <v>57</v>
      </c>
      <c r="K13" s="47">
        <f t="shared" si="1"/>
        <v>109</v>
      </c>
      <c r="L13" s="10" t="s">
        <v>91</v>
      </c>
    </row>
  </sheetData>
  <mergeCells count="2">
    <mergeCell ref="F1:H1"/>
    <mergeCell ref="F2:H2"/>
  </mergeCells>
  <dataValidations count="3">
    <dataValidation type="list" allowBlank="1" errorTitle="Not in master" error="Value must be chosen from the master list." promptTitle="Master-driven list" prompt="Select from M_OrderNo" sqref="A7:A500" xr:uid="{00000000-0002-0000-1F00-000000000000}">
      <formula1>M_OrderNo</formula1>
      <formula2>0</formula2>
    </dataValidation>
    <dataValidation type="list" allowBlank="1" errorTitle="Not in master" error="Value must be chosen from the master list." promptTitle="Master-driven list" prompt="Select from M_StyleNo" sqref="C7:C500" xr:uid="{00000000-0002-0000-1F00-000001000000}">
      <formula1>M_StyleNo</formula1>
      <formula2>0</formula2>
    </dataValidation>
    <dataValidation type="list" allowBlank="1" errorTitle="Not in master" error="Value must be chosen from the master list." promptTitle="Master-driven list" prompt="Select from L_StatusGeneral" sqref="L7:L500" xr:uid="{00000000-0002-0000-1F00-000002000000}">
      <formula1>L_StatusGeneral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50"/>
  </sheetPr>
  <dimension ref="A1:H13"/>
  <sheetViews>
    <sheetView showGridLines="0" zoomScaleNormal="100" workbookViewId="0">
      <pane ySplit="6" topLeftCell="A7" activePane="bottomLeft" state="frozen"/>
      <selection pane="bottomLeft" activeCell="F16" sqref="F16"/>
    </sheetView>
  </sheetViews>
  <sheetFormatPr defaultColWidth="8.5546875" defaultRowHeight="14.4" x14ac:dyDescent="0.3"/>
  <cols>
    <col min="1" max="3" width="32" customWidth="1"/>
    <col min="4" max="5" width="20" customWidth="1"/>
    <col min="6" max="6" width="32" customWidth="1"/>
    <col min="7" max="7" width="15" customWidth="1"/>
    <col min="8" max="8" width="16" customWidth="1"/>
    <col min="9" max="9" width="14" customWidth="1"/>
  </cols>
  <sheetData>
    <row r="1" spans="1:8" ht="21" customHeight="1" x14ac:dyDescent="0.3">
      <c r="A1" s="8" t="s">
        <v>863</v>
      </c>
      <c r="C1" s="77" t="s">
        <v>25</v>
      </c>
      <c r="D1" s="77"/>
      <c r="E1" s="77"/>
      <c r="F1" s="77"/>
      <c r="G1" s="77"/>
      <c r="H1" s="77"/>
    </row>
    <row r="2" spans="1:8" ht="62.25" customHeight="1" x14ac:dyDescent="0.3">
      <c r="A2" s="2"/>
      <c r="C2" s="78" t="s">
        <v>875</v>
      </c>
      <c r="D2" s="78"/>
      <c r="E2" s="78"/>
      <c r="F2" s="78"/>
      <c r="G2" s="78"/>
      <c r="H2" s="78"/>
    </row>
    <row r="3" spans="1:8" ht="12" customHeight="1" x14ac:dyDescent="0.3"/>
    <row r="4" spans="1:8" ht="30" customHeight="1" x14ac:dyDescent="0.3">
      <c r="A4" s="9" t="s">
        <v>493</v>
      </c>
      <c r="B4" s="9" t="s">
        <v>457</v>
      </c>
      <c r="C4" s="9" t="s">
        <v>389</v>
      </c>
      <c r="D4" s="9" t="s">
        <v>689</v>
      </c>
      <c r="E4" s="9" t="s">
        <v>876</v>
      </c>
      <c r="F4" s="9" t="s">
        <v>322</v>
      </c>
    </row>
    <row r="5" spans="1:8" ht="14.25" customHeight="1" x14ac:dyDescent="0.3">
      <c r="A5" s="35" t="s">
        <v>270</v>
      </c>
      <c r="B5" s="35" t="s">
        <v>631</v>
      </c>
      <c r="C5" s="35" t="s">
        <v>631</v>
      </c>
      <c r="D5" s="36" t="s">
        <v>272</v>
      </c>
      <c r="E5" s="63"/>
      <c r="F5" s="37" t="s">
        <v>323</v>
      </c>
    </row>
    <row r="6" spans="1:8" ht="28.5" customHeight="1" x14ac:dyDescent="0.3">
      <c r="D6" s="38" t="s">
        <v>691</v>
      </c>
      <c r="E6" s="38" t="s">
        <v>877</v>
      </c>
    </row>
    <row r="7" spans="1:8" ht="14.25" customHeight="1" x14ac:dyDescent="0.3">
      <c r="A7" s="23">
        <v>46257</v>
      </c>
      <c r="B7" s="10" t="s">
        <v>469</v>
      </c>
      <c r="C7" s="10" t="s">
        <v>400</v>
      </c>
      <c r="D7" s="10" t="s">
        <v>438</v>
      </c>
      <c r="E7" s="13">
        <v>0</v>
      </c>
      <c r="F7" s="10" t="s">
        <v>878</v>
      </c>
    </row>
    <row r="8" spans="1:8" ht="14.25" customHeight="1" x14ac:dyDescent="0.3">
      <c r="A8" s="23">
        <v>46258</v>
      </c>
      <c r="B8" s="10" t="s">
        <v>469</v>
      </c>
      <c r="C8" s="10" t="s">
        <v>400</v>
      </c>
      <c r="D8" s="10" t="s">
        <v>438</v>
      </c>
      <c r="E8" s="13">
        <v>1</v>
      </c>
      <c r="F8" s="10" t="s">
        <v>879</v>
      </c>
    </row>
    <row r="9" spans="1:8" ht="14.25" customHeight="1" x14ac:dyDescent="0.3">
      <c r="A9" s="23">
        <v>46260</v>
      </c>
      <c r="B9" s="10" t="s">
        <v>473</v>
      </c>
      <c r="C9" s="10" t="s">
        <v>404</v>
      </c>
      <c r="D9" s="10" t="s">
        <v>441</v>
      </c>
      <c r="E9" s="13">
        <v>0</v>
      </c>
      <c r="F9" s="10"/>
    </row>
    <row r="10" spans="1:8" ht="14.25" customHeight="1" x14ac:dyDescent="0.3">
      <c r="A10" s="23">
        <v>46262</v>
      </c>
      <c r="B10" s="10" t="s">
        <v>473</v>
      </c>
      <c r="C10" s="10" t="s">
        <v>404</v>
      </c>
      <c r="D10" s="10" t="s">
        <v>441</v>
      </c>
      <c r="E10" s="13">
        <v>2</v>
      </c>
      <c r="F10" s="10" t="s">
        <v>880</v>
      </c>
    </row>
    <row r="11" spans="1:8" ht="14.25" customHeight="1" x14ac:dyDescent="0.3">
      <c r="A11" s="23">
        <v>46263</v>
      </c>
      <c r="B11" s="10" t="s">
        <v>474</v>
      </c>
      <c r="C11" s="10" t="s">
        <v>407</v>
      </c>
      <c r="D11" s="10" t="s">
        <v>438</v>
      </c>
      <c r="E11" s="13">
        <v>0</v>
      </c>
      <c r="F11" s="10"/>
    </row>
    <row r="12" spans="1:8" ht="14.25" customHeight="1" x14ac:dyDescent="0.3">
      <c r="A12" s="23">
        <v>46265</v>
      </c>
      <c r="B12" s="10" t="s">
        <v>478</v>
      </c>
      <c r="C12" s="10" t="s">
        <v>411</v>
      </c>
      <c r="D12" s="10" t="s">
        <v>441</v>
      </c>
      <c r="E12" s="13">
        <v>1</v>
      </c>
      <c r="F12" s="10" t="s">
        <v>881</v>
      </c>
    </row>
    <row r="13" spans="1:8" ht="14.25" customHeight="1" x14ac:dyDescent="0.3">
      <c r="A13" s="23">
        <v>46267</v>
      </c>
      <c r="B13" s="10" t="s">
        <v>481</v>
      </c>
      <c r="C13" s="10" t="s">
        <v>418</v>
      </c>
      <c r="D13" s="10" t="s">
        <v>438</v>
      </c>
      <c r="E13" s="13">
        <v>0</v>
      </c>
      <c r="F13" s="10"/>
    </row>
  </sheetData>
  <mergeCells count="2">
    <mergeCell ref="C1:H1"/>
    <mergeCell ref="C2:H2"/>
  </mergeCells>
  <dataValidations count="3">
    <dataValidation type="list" allowBlank="1" errorTitle="Not in master" error="Value must be chosen from the master list." promptTitle="Master-driven list" prompt="Select from M_OrderNo" sqref="B7:B500" xr:uid="{00000000-0002-0000-2000-000000000000}">
      <formula1>M_OrderNo</formula1>
      <formula2>0</formula2>
    </dataValidation>
    <dataValidation type="list" allowBlank="1" errorTitle="Not in master" error="Value must be chosen from the master list." promptTitle="Master-driven list" prompt="Select from M_StyleNo" sqref="C7:C500" xr:uid="{00000000-0002-0000-2000-000001000000}">
      <formula1>M_StyleNo</formula1>
      <formula2>0</formula2>
    </dataValidation>
    <dataValidation type="list" allowBlank="1" errorTitle="Not in master" error="Value must be chosen from the master list." promptTitle="Master-driven list" prompt="Select from M_EmpName" sqref="D7:D500" xr:uid="{00000000-0002-0000-2000-000002000000}">
      <formula1>M_EmpName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00B050"/>
  </sheetPr>
  <dimension ref="A1:O13"/>
  <sheetViews>
    <sheetView showGridLines="0" topLeftCell="D1" zoomScaleNormal="100" workbookViewId="0">
      <pane ySplit="6" topLeftCell="A7" activePane="bottomLeft" state="frozen"/>
      <selection pane="bottomLeft" activeCell="I4" sqref="I4:I13"/>
    </sheetView>
  </sheetViews>
  <sheetFormatPr defaultColWidth="8.5546875" defaultRowHeight="14.4" x14ac:dyDescent="0.3"/>
  <cols>
    <col min="1" max="8" width="28" customWidth="1"/>
    <col min="9" max="13" width="21" customWidth="1"/>
  </cols>
  <sheetData>
    <row r="1" spans="1:15" ht="21" customHeight="1" x14ac:dyDescent="0.3">
      <c r="A1" s="8" t="s">
        <v>882</v>
      </c>
      <c r="C1" s="77" t="s">
        <v>25</v>
      </c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</row>
    <row r="2" spans="1:15" ht="21" customHeight="1" x14ac:dyDescent="0.3">
      <c r="A2" s="2"/>
      <c r="C2" s="78" t="s">
        <v>883</v>
      </c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</row>
    <row r="3" spans="1:15" ht="12" customHeight="1" x14ac:dyDescent="0.3"/>
    <row r="4" spans="1:15" ht="30" customHeight="1" x14ac:dyDescent="0.3">
      <c r="A4" s="9" t="s">
        <v>493</v>
      </c>
      <c r="B4" s="9" t="s">
        <v>457</v>
      </c>
      <c r="C4" s="9" t="s">
        <v>391</v>
      </c>
      <c r="D4" s="9" t="s">
        <v>491</v>
      </c>
      <c r="E4" s="9" t="s">
        <v>884</v>
      </c>
      <c r="F4" s="9" t="s">
        <v>885</v>
      </c>
      <c r="G4" s="9" t="s">
        <v>869</v>
      </c>
      <c r="H4" s="9" t="s">
        <v>465</v>
      </c>
      <c r="I4" s="9" t="s">
        <v>886</v>
      </c>
      <c r="J4" s="9" t="s">
        <v>887</v>
      </c>
      <c r="K4" s="9" t="s">
        <v>269</v>
      </c>
      <c r="L4" s="9" t="s">
        <v>322</v>
      </c>
    </row>
    <row r="5" spans="1:15" ht="14.25" customHeight="1" x14ac:dyDescent="0.3">
      <c r="A5" s="35" t="s">
        <v>270</v>
      </c>
      <c r="B5" s="35" t="s">
        <v>631</v>
      </c>
      <c r="C5" s="35" t="s">
        <v>270</v>
      </c>
      <c r="D5" s="37" t="s">
        <v>271</v>
      </c>
      <c r="E5" s="37" t="s">
        <v>271</v>
      </c>
      <c r="F5" s="35" t="s">
        <v>270</v>
      </c>
      <c r="G5" s="35" t="s">
        <v>270</v>
      </c>
      <c r="H5" s="36" t="s">
        <v>272</v>
      </c>
      <c r="I5" s="37" t="s">
        <v>271</v>
      </c>
      <c r="J5" s="37" t="s">
        <v>271</v>
      </c>
      <c r="K5" s="36" t="s">
        <v>272</v>
      </c>
      <c r="L5" s="37" t="s">
        <v>323</v>
      </c>
    </row>
    <row r="6" spans="1:15" ht="28.5" customHeight="1" x14ac:dyDescent="0.3">
      <c r="C6" s="38" t="s">
        <v>888</v>
      </c>
      <c r="F6" s="38" t="s">
        <v>889</v>
      </c>
      <c r="G6" s="38" t="s">
        <v>889</v>
      </c>
      <c r="K6" s="38" t="s">
        <v>890</v>
      </c>
    </row>
    <row r="7" spans="1:15" ht="14.25" customHeight="1" x14ac:dyDescent="0.3">
      <c r="A7" s="23">
        <v>46263</v>
      </c>
      <c r="B7" s="10" t="s">
        <v>469</v>
      </c>
      <c r="C7" s="10" t="s">
        <v>275</v>
      </c>
      <c r="D7" s="10" t="s">
        <v>85</v>
      </c>
      <c r="E7" s="10" t="s">
        <v>891</v>
      </c>
      <c r="F7" s="13">
        <v>103</v>
      </c>
      <c r="G7" s="13">
        <v>4780</v>
      </c>
      <c r="H7" s="10" t="s">
        <v>71</v>
      </c>
      <c r="I7" s="10" t="s">
        <v>892</v>
      </c>
      <c r="J7" s="23">
        <v>46293</v>
      </c>
      <c r="K7" s="10" t="s">
        <v>134</v>
      </c>
      <c r="L7" s="10" t="s">
        <v>893</v>
      </c>
    </row>
    <row r="8" spans="1:15" ht="14.25" customHeight="1" x14ac:dyDescent="0.3">
      <c r="A8" s="23">
        <v>46265</v>
      </c>
      <c r="B8" s="10" t="s">
        <v>473</v>
      </c>
      <c r="C8" s="10" t="s">
        <v>275</v>
      </c>
      <c r="D8" s="10" t="s">
        <v>122</v>
      </c>
      <c r="E8" s="10" t="s">
        <v>894</v>
      </c>
      <c r="F8" s="13">
        <v>141</v>
      </c>
      <c r="G8" s="13">
        <v>6620</v>
      </c>
      <c r="H8" s="10" t="s">
        <v>71</v>
      </c>
      <c r="I8" s="10" t="s">
        <v>895</v>
      </c>
      <c r="J8" s="23">
        <v>46295</v>
      </c>
      <c r="K8" s="10" t="s">
        <v>134</v>
      </c>
      <c r="L8" s="10"/>
    </row>
    <row r="9" spans="1:15" ht="14.25" customHeight="1" x14ac:dyDescent="0.3">
      <c r="A9" s="23">
        <v>46267</v>
      </c>
      <c r="B9" s="10" t="s">
        <v>474</v>
      </c>
      <c r="C9" s="10" t="s">
        <v>281</v>
      </c>
      <c r="D9" s="10" t="s">
        <v>159</v>
      </c>
      <c r="E9" s="10" t="s">
        <v>896</v>
      </c>
      <c r="F9" s="13">
        <v>66</v>
      </c>
      <c r="G9" s="13">
        <v>1660</v>
      </c>
      <c r="H9" s="10" t="s">
        <v>71</v>
      </c>
      <c r="I9" s="10" t="s">
        <v>897</v>
      </c>
      <c r="J9" s="23">
        <v>46299</v>
      </c>
      <c r="K9" s="10" t="s">
        <v>166</v>
      </c>
      <c r="L9" s="10" t="s">
        <v>898</v>
      </c>
    </row>
    <row r="10" spans="1:15" ht="14.25" customHeight="1" x14ac:dyDescent="0.3">
      <c r="A10" s="23">
        <v>46270</v>
      </c>
      <c r="B10" s="10" t="s">
        <v>478</v>
      </c>
      <c r="C10" s="10" t="s">
        <v>287</v>
      </c>
      <c r="D10" s="10" t="s">
        <v>185</v>
      </c>
      <c r="E10" s="10" t="s">
        <v>899</v>
      </c>
      <c r="F10" s="13">
        <v>179</v>
      </c>
      <c r="G10" s="13">
        <v>4480</v>
      </c>
      <c r="H10" s="10" t="s">
        <v>71</v>
      </c>
      <c r="I10" s="10" t="s">
        <v>900</v>
      </c>
      <c r="J10" s="23">
        <v>46304</v>
      </c>
      <c r="K10" s="10" t="s">
        <v>91</v>
      </c>
      <c r="L10" s="10" t="s">
        <v>901</v>
      </c>
    </row>
    <row r="11" spans="1:15" ht="14.25" customHeight="1" x14ac:dyDescent="0.3">
      <c r="A11" s="23">
        <v>46273</v>
      </c>
      <c r="B11" s="10" t="s">
        <v>481</v>
      </c>
      <c r="C11" s="10" t="s">
        <v>293</v>
      </c>
      <c r="D11" s="10" t="s">
        <v>208</v>
      </c>
      <c r="E11" s="10" t="s">
        <v>902</v>
      </c>
      <c r="F11" s="13">
        <v>109</v>
      </c>
      <c r="G11" s="13">
        <v>2720</v>
      </c>
      <c r="H11" s="10" t="s">
        <v>108</v>
      </c>
      <c r="I11" s="10" t="s">
        <v>903</v>
      </c>
      <c r="J11" s="23">
        <v>46279</v>
      </c>
      <c r="K11" s="10" t="s">
        <v>91</v>
      </c>
      <c r="L11" s="10" t="s">
        <v>904</v>
      </c>
    </row>
    <row r="12" spans="1:15" ht="14.25" customHeight="1" x14ac:dyDescent="0.3">
      <c r="A12" s="23">
        <v>46277</v>
      </c>
      <c r="B12" s="10" t="s">
        <v>484</v>
      </c>
      <c r="C12" s="10" t="s">
        <v>299</v>
      </c>
      <c r="D12" s="10" t="s">
        <v>85</v>
      </c>
      <c r="E12" s="10" t="s">
        <v>905</v>
      </c>
      <c r="F12" s="13">
        <v>0</v>
      </c>
      <c r="G12" s="13">
        <v>0</v>
      </c>
      <c r="H12" s="10" t="s">
        <v>71</v>
      </c>
      <c r="I12" s="10"/>
      <c r="J12" s="23">
        <v>46315</v>
      </c>
      <c r="K12" s="10" t="s">
        <v>91</v>
      </c>
      <c r="L12" s="10" t="s">
        <v>906</v>
      </c>
    </row>
    <row r="13" spans="1:15" ht="14.25" customHeight="1" x14ac:dyDescent="0.3">
      <c r="A13" s="23">
        <v>46280</v>
      </c>
      <c r="B13" s="10" t="s">
        <v>487</v>
      </c>
      <c r="C13" s="10" t="s">
        <v>287</v>
      </c>
      <c r="D13" s="10" t="s">
        <v>122</v>
      </c>
      <c r="E13" s="10" t="s">
        <v>907</v>
      </c>
      <c r="F13" s="13">
        <v>0</v>
      </c>
      <c r="G13" s="13">
        <v>0</v>
      </c>
      <c r="H13" s="10" t="s">
        <v>71</v>
      </c>
      <c r="I13" s="10"/>
      <c r="J13" s="23">
        <v>46320</v>
      </c>
      <c r="K13" s="10" t="s">
        <v>91</v>
      </c>
      <c r="L13" s="10" t="s">
        <v>906</v>
      </c>
    </row>
  </sheetData>
  <mergeCells count="2">
    <mergeCell ref="C1:O1"/>
    <mergeCell ref="C2:O2"/>
  </mergeCells>
  <dataValidations count="5">
    <dataValidation type="list" allowBlank="1" errorTitle="Not in master" error="Value must be chosen from the master list." promptTitle="Master-driven list" prompt="Select from M_OrderNo" sqref="B7:B500" xr:uid="{00000000-0002-0000-2100-000000000000}">
      <formula1>M_OrderNo</formula1>
      <formula2>0</formula2>
    </dataValidation>
    <dataValidation type="list" allowBlank="1" errorTitle="Not in master" error="Value must be chosen from the master list." promptTitle="Master-driven list" prompt="Select from M_BuyerName" sqref="C7:C500" xr:uid="{00000000-0002-0000-2100-000001000000}">
      <formula1>M_BuyerName</formula1>
      <formula2>0</formula2>
    </dataValidation>
    <dataValidation type="list" allowBlank="1" errorTitle="Not in master" error="Value must be chosen from the master list." promptTitle="Master-driven list" prompt="Select from L_ContainerNo" sqref="D7:D500" xr:uid="{00000000-0002-0000-2100-000002000000}">
      <formula1>L_ContainerNo</formula1>
      <formula2>0</formula2>
    </dataValidation>
    <dataValidation type="list" allowBlank="1" errorTitle="Not in master" error="Value must be chosen from the master list." promptTitle="Master-driven list" prompt="Select from L_ShipMode" sqref="H7:H500" xr:uid="{00000000-0002-0000-2100-000003000000}">
      <formula1>L_ShipMode</formula1>
      <formula2>0</formula2>
    </dataValidation>
    <dataValidation type="list" allowBlank="1" errorTitle="Not in master" error="Value must be chosen from the master list." promptTitle="Master-driven list" prompt="Select from L_StatusDispatch" sqref="K7:K500" xr:uid="{00000000-0002-0000-2100-000004000000}">
      <formula1>L_StatusDispatch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00B050"/>
  </sheetPr>
  <dimension ref="A1:M13"/>
  <sheetViews>
    <sheetView showGridLines="0" topLeftCell="B2" zoomScale="104" zoomScaleNormal="104" workbookViewId="0">
      <pane ySplit="6" topLeftCell="A9" activePane="bottomLeft" state="frozen"/>
      <selection activeCell="A2" sqref="A2"/>
      <selection pane="bottomLeft" activeCell="H6" sqref="H6"/>
    </sheetView>
  </sheetViews>
  <sheetFormatPr defaultColWidth="8.5546875" defaultRowHeight="14.4" x14ac:dyDescent="0.3"/>
  <cols>
    <col min="1" max="2" width="32" customWidth="1"/>
    <col min="3" max="3" width="20" customWidth="1"/>
    <col min="4" max="4" width="23" customWidth="1"/>
    <col min="5" max="11" width="19" customWidth="1"/>
  </cols>
  <sheetData>
    <row r="1" spans="1:13" ht="21" customHeight="1" x14ac:dyDescent="0.3">
      <c r="A1" s="8" t="s">
        <v>908</v>
      </c>
      <c r="C1" s="77" t="s">
        <v>25</v>
      </c>
      <c r="D1" s="77"/>
      <c r="E1" s="77"/>
      <c r="F1" s="77"/>
      <c r="G1" s="77"/>
      <c r="H1" s="77"/>
      <c r="I1" s="77"/>
      <c r="J1" s="77"/>
      <c r="K1" s="77"/>
      <c r="L1" s="77"/>
      <c r="M1" s="77"/>
    </row>
    <row r="2" spans="1:13" ht="21" customHeight="1" x14ac:dyDescent="0.3">
      <c r="A2" s="2"/>
      <c r="C2" s="78" t="s">
        <v>909</v>
      </c>
      <c r="D2" s="78"/>
      <c r="E2" s="78"/>
      <c r="F2" s="78"/>
      <c r="G2" s="78"/>
      <c r="H2" s="78"/>
      <c r="I2" s="78"/>
      <c r="J2" s="78"/>
      <c r="K2" s="78"/>
      <c r="L2" s="78"/>
      <c r="M2" s="78"/>
    </row>
    <row r="3" spans="1:13" ht="12" customHeight="1" x14ac:dyDescent="0.3"/>
    <row r="4" spans="1:13" ht="30" customHeight="1" x14ac:dyDescent="0.3">
      <c r="A4" s="9" t="s">
        <v>457</v>
      </c>
      <c r="B4" s="9" t="s">
        <v>389</v>
      </c>
      <c r="C4" s="9" t="s">
        <v>732</v>
      </c>
      <c r="D4" s="9" t="s">
        <v>910</v>
      </c>
      <c r="E4" s="9" t="s">
        <v>911</v>
      </c>
      <c r="F4" s="9" t="s">
        <v>912</v>
      </c>
      <c r="G4" s="9" t="s">
        <v>913</v>
      </c>
      <c r="H4" s="9" t="s">
        <v>914</v>
      </c>
      <c r="I4" s="9" t="s">
        <v>915</v>
      </c>
      <c r="J4" s="9" t="s">
        <v>269</v>
      </c>
      <c r="K4" s="9" t="s">
        <v>322</v>
      </c>
    </row>
    <row r="5" spans="1:13" ht="14.25" customHeight="1" x14ac:dyDescent="0.3">
      <c r="A5" s="36" t="s">
        <v>272</v>
      </c>
      <c r="B5" s="36" t="s">
        <v>272</v>
      </c>
      <c r="C5" s="35" t="s">
        <v>270</v>
      </c>
      <c r="D5" s="35" t="s">
        <v>270</v>
      </c>
      <c r="E5" s="35" t="s">
        <v>270</v>
      </c>
      <c r="F5" s="35" t="s">
        <v>270</v>
      </c>
      <c r="G5" s="35" t="s">
        <v>270</v>
      </c>
      <c r="H5" s="35" t="s">
        <v>270</v>
      </c>
      <c r="I5" s="35" t="s">
        <v>514</v>
      </c>
      <c r="J5" s="36" t="s">
        <v>272</v>
      </c>
      <c r="K5" s="37" t="s">
        <v>323</v>
      </c>
    </row>
    <row r="6" spans="1:13" ht="57" customHeight="1" x14ac:dyDescent="0.3">
      <c r="C6" s="38" t="s">
        <v>916</v>
      </c>
      <c r="D6" s="38" t="s">
        <v>917</v>
      </c>
      <c r="E6" s="38" t="s">
        <v>918</v>
      </c>
      <c r="F6" s="38" t="s">
        <v>919</v>
      </c>
      <c r="G6" s="38" t="s">
        <v>920</v>
      </c>
      <c r="H6" s="38" t="s">
        <v>889</v>
      </c>
      <c r="I6" s="38" t="s">
        <v>921</v>
      </c>
      <c r="J6" s="38" t="s">
        <v>922</v>
      </c>
    </row>
    <row r="7" spans="1:13" ht="14.25" customHeight="1" x14ac:dyDescent="0.3">
      <c r="A7" s="10" t="s">
        <v>469</v>
      </c>
      <c r="B7" s="10" t="s">
        <v>400</v>
      </c>
      <c r="C7" s="13">
        <v>5000</v>
      </c>
      <c r="D7" s="13">
        <v>4830</v>
      </c>
      <c r="E7" s="13">
        <v>190</v>
      </c>
      <c r="F7" s="13">
        <v>56</v>
      </c>
      <c r="G7" s="13">
        <v>60</v>
      </c>
      <c r="H7" s="13">
        <v>4780</v>
      </c>
      <c r="I7" s="47">
        <f t="shared" ref="I7:I13" si="0">C7-D7-F7-G7</f>
        <v>54</v>
      </c>
      <c r="J7" s="47" t="s">
        <v>135</v>
      </c>
      <c r="K7" s="64" t="s">
        <v>923</v>
      </c>
    </row>
    <row r="8" spans="1:13" ht="14.25" customHeight="1" x14ac:dyDescent="0.3">
      <c r="A8" s="10" t="s">
        <v>473</v>
      </c>
      <c r="B8" s="10" t="s">
        <v>404</v>
      </c>
      <c r="C8" s="13">
        <v>7000</v>
      </c>
      <c r="D8" s="13">
        <v>6730</v>
      </c>
      <c r="E8" s="13">
        <v>225</v>
      </c>
      <c r="F8" s="13">
        <v>89</v>
      </c>
      <c r="G8" s="13">
        <v>100</v>
      </c>
      <c r="H8" s="13">
        <v>6620</v>
      </c>
      <c r="I8" s="47">
        <f t="shared" si="0"/>
        <v>81</v>
      </c>
      <c r="J8" s="47" t="s">
        <v>135</v>
      </c>
      <c r="K8" s="64" t="s">
        <v>924</v>
      </c>
    </row>
    <row r="9" spans="1:13" ht="14.25" customHeight="1" x14ac:dyDescent="0.3">
      <c r="A9" s="10" t="s">
        <v>474</v>
      </c>
      <c r="B9" s="10" t="s">
        <v>407</v>
      </c>
      <c r="C9" s="13">
        <v>2000</v>
      </c>
      <c r="D9" s="13">
        <v>1860</v>
      </c>
      <c r="E9" s="13">
        <v>110</v>
      </c>
      <c r="F9" s="13">
        <v>42</v>
      </c>
      <c r="G9" s="13">
        <v>50</v>
      </c>
      <c r="H9" s="13">
        <v>1660</v>
      </c>
      <c r="I9" s="47">
        <f t="shared" si="0"/>
        <v>48</v>
      </c>
      <c r="J9" s="47" t="s">
        <v>135</v>
      </c>
      <c r="K9" s="64" t="s">
        <v>925</v>
      </c>
    </row>
    <row r="10" spans="1:13" ht="14.25" customHeight="1" x14ac:dyDescent="0.3">
      <c r="A10" s="10" t="s">
        <v>478</v>
      </c>
      <c r="B10" s="10" t="s">
        <v>411</v>
      </c>
      <c r="C10" s="13">
        <v>5000</v>
      </c>
      <c r="D10" s="13">
        <v>4780</v>
      </c>
      <c r="E10" s="13">
        <v>140</v>
      </c>
      <c r="F10" s="13">
        <v>60</v>
      </c>
      <c r="G10" s="13">
        <v>80</v>
      </c>
      <c r="H10" s="13">
        <v>4480</v>
      </c>
      <c r="I10" s="47">
        <f t="shared" si="0"/>
        <v>80</v>
      </c>
      <c r="J10" s="47" t="s">
        <v>135</v>
      </c>
      <c r="K10" s="64" t="s">
        <v>926</v>
      </c>
    </row>
    <row r="11" spans="1:13" ht="14.25" customHeight="1" x14ac:dyDescent="0.3">
      <c r="A11" s="10" t="s">
        <v>481</v>
      </c>
      <c r="B11" s="10" t="s">
        <v>418</v>
      </c>
      <c r="C11" s="13">
        <v>3000</v>
      </c>
      <c r="D11" s="13">
        <v>2890</v>
      </c>
      <c r="E11" s="13">
        <v>85</v>
      </c>
      <c r="F11" s="13">
        <v>31</v>
      </c>
      <c r="G11" s="13">
        <v>40</v>
      </c>
      <c r="H11" s="13">
        <v>2720</v>
      </c>
      <c r="I11" s="47">
        <f t="shared" si="0"/>
        <v>39</v>
      </c>
      <c r="J11" s="47" t="s">
        <v>135</v>
      </c>
      <c r="K11" s="64" t="s">
        <v>927</v>
      </c>
    </row>
    <row r="12" spans="1:13" ht="14.25" customHeight="1" x14ac:dyDescent="0.3">
      <c r="A12" s="10" t="s">
        <v>484</v>
      </c>
      <c r="B12" s="10" t="s">
        <v>422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47">
        <f t="shared" si="0"/>
        <v>0</v>
      </c>
      <c r="J12" s="47" t="s">
        <v>99</v>
      </c>
      <c r="K12" s="64" t="s">
        <v>928</v>
      </c>
    </row>
    <row r="13" spans="1:13" ht="14.25" customHeight="1" x14ac:dyDescent="0.3">
      <c r="A13" s="10" t="s">
        <v>487</v>
      </c>
      <c r="B13" s="10" t="s">
        <v>415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47">
        <f t="shared" si="0"/>
        <v>0</v>
      </c>
      <c r="J13" s="47" t="s">
        <v>99</v>
      </c>
      <c r="K13" s="64" t="s">
        <v>928</v>
      </c>
    </row>
  </sheetData>
  <mergeCells count="2">
    <mergeCell ref="C1:M1"/>
    <mergeCell ref="C2:M2"/>
  </mergeCells>
  <dataValidations count="3">
    <dataValidation type="list" allowBlank="1" errorTitle="Not in master" error="Value must be chosen from the master list." promptTitle="Master-driven list" prompt="Select from M_OrderNo" sqref="A7:A500" xr:uid="{00000000-0002-0000-2200-000000000000}">
      <formula1>M_OrderNo</formula1>
      <formula2>0</formula2>
    </dataValidation>
    <dataValidation type="list" allowBlank="1" errorTitle="Not in master" error="Value must be chosen from the master list." promptTitle="Master-driven list" prompt="Select from M_StyleNo" sqref="B7:B500" xr:uid="{00000000-0002-0000-2200-000001000000}">
      <formula1>M_StyleNo</formula1>
      <formula2>0</formula2>
    </dataValidation>
    <dataValidation type="list" allowBlank="1" errorTitle="Not in master" error="Value must be chosen from the master list." promptTitle="Master-driven list" prompt="Select from L_StatusRecon" sqref="J7:J500" xr:uid="{00000000-0002-0000-2200-000002000000}">
      <formula1>L_StatusRecon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READ ME</vt:lpstr>
      <vt:lpstr>Master Lists</vt:lpstr>
      <vt:lpstr>Buyer Master</vt:lpstr>
      <vt:lpstr>Vendor Master</vt:lpstr>
      <vt:lpstr>Style Master</vt:lpstr>
      <vt:lpstr>Employee Master</vt:lpstr>
      <vt:lpstr>Order</vt:lpstr>
      <vt:lpstr>Planning_</vt:lpstr>
      <vt:lpstr>Planning</vt:lpstr>
      <vt:lpstr>Vendor Quotation-Approval</vt:lpstr>
      <vt:lpstr>PO</vt:lpstr>
      <vt:lpstr>Gate Pass</vt:lpstr>
      <vt:lpstr>GRN</vt:lpstr>
      <vt:lpstr>Fabric Issue</vt:lpstr>
      <vt:lpstr>Dye issue</vt:lpstr>
      <vt:lpstr>Dyeing Receipt</vt:lpstr>
      <vt:lpstr>Fabric Scrutiny Report</vt:lpstr>
      <vt:lpstr>Printing</vt:lpstr>
      <vt:lpstr>Cutting Plan Approval</vt:lpstr>
      <vt:lpstr>Cutting Issue</vt:lpstr>
      <vt:lpstr>Stiching Record</vt:lpstr>
      <vt:lpstr>Hourly Monitoring</vt:lpstr>
      <vt:lpstr>QC Size</vt:lpstr>
      <vt:lpstr>QC Defects</vt:lpstr>
      <vt:lpstr>Internal Quality Check</vt:lpstr>
      <vt:lpstr>Final Checker Report</vt:lpstr>
      <vt:lpstr>Finished Checker</vt:lpstr>
      <vt:lpstr>External Secondary Checking</vt:lpstr>
      <vt:lpstr>Alter Report</vt:lpstr>
      <vt:lpstr>Spot Rectification-Scrap</vt:lpstr>
      <vt:lpstr>Rejected</vt:lpstr>
      <vt:lpstr>Packing</vt:lpstr>
      <vt:lpstr>Needle Checking</vt:lpstr>
      <vt:lpstr>Dispatch</vt:lpstr>
      <vt:lpstr>Reconciliation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 O MITTAL AND ASSOCIATES</dc:creator>
  <dc:description/>
  <cp:lastModifiedBy>A O MITTAL AND ASSOCIATES</cp:lastModifiedBy>
  <cp:revision>0</cp:revision>
  <dcterms:created xsi:type="dcterms:W3CDTF">2026-07-15T11:37:02Z</dcterms:created>
  <dcterms:modified xsi:type="dcterms:W3CDTF">2026-08-24T10:42:34Z</dcterms:modified>
  <dc:language>en-US</dc:language>
</cp:coreProperties>
</file>