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SHJI\Documents\Harshita\Shekhawati Impex\"/>
    </mc:Choice>
  </mc:AlternateContent>
  <xr:revisionPtr revIDLastSave="0" documentId="13_ncr:1_{F8ACC41E-D350-44F7-B219-F0F3EAD79371}" xr6:coauthVersionLast="47" xr6:coauthVersionMax="47" xr10:uidLastSave="{00000000-0000-0000-0000-000000000000}"/>
  <bookViews>
    <workbookView xWindow="-108" yWindow="-108" windowWidth="23256" windowHeight="12456" tabRatio="985" firstSheet="9" activeTab="11" xr2:uid="{00000000-000D-0000-FFFF-FFFF00000000}"/>
  </bookViews>
  <sheets>
    <sheet name="Master Lists" sheetId="3" state="hidden" r:id="rId1"/>
    <sheet name="Buyer Master" sheetId="4" r:id="rId2"/>
    <sheet name="Vendor Master" sheetId="5" r:id="rId3"/>
    <sheet name="Employee Master" sheetId="7" r:id="rId4"/>
    <sheet name="Style Master" sheetId="6" r:id="rId5"/>
    <sheet name="Order" sheetId="8" r:id="rId6"/>
    <sheet name="Planning_" sheetId="37" r:id="rId7"/>
    <sheet name="Planning" sheetId="10" r:id="rId8"/>
    <sheet name="Vendor Quotation-Approval" sheetId="11" r:id="rId9"/>
    <sheet name="PO" sheetId="12" r:id="rId10"/>
    <sheet name="Gate Pass" sheetId="13" r:id="rId11"/>
    <sheet name="GRN" sheetId="14" r:id="rId12"/>
    <sheet name="Fabric Issue" sheetId="15" r:id="rId13"/>
    <sheet name="Dye issue" sheetId="16" r:id="rId14"/>
    <sheet name="Fabric Scrutiny Report" sheetId="18" state="hidden" r:id="rId15"/>
    <sheet name="Printing" sheetId="19" r:id="rId16"/>
    <sheet name=" Plan Approval" sheetId="20" r:id="rId17"/>
    <sheet name="Cutting Issue" sheetId="21" r:id="rId18"/>
    <sheet name="Stiching Record" sheetId="22" r:id="rId19"/>
    <sheet name="Hourly Monitoring" sheetId="23" r:id="rId20"/>
    <sheet name="QC Size" sheetId="24" r:id="rId21"/>
    <sheet name="QC Defects" sheetId="25" r:id="rId22"/>
    <sheet name="Internal Quality Check" sheetId="26" r:id="rId23"/>
    <sheet name="Internal Checker Report" sheetId="27" r:id="rId24"/>
    <sheet name="Finished Checker" sheetId="28" r:id="rId25"/>
    <sheet name="External Secondary Checking" sheetId="29" r:id="rId26"/>
    <sheet name="Alter Report" sheetId="30" r:id="rId27"/>
    <sheet name="Spot Rectification-Scrap" sheetId="31" r:id="rId28"/>
    <sheet name="Rejected" sheetId="32" r:id="rId29"/>
    <sheet name="Packing" sheetId="33" r:id="rId30"/>
    <sheet name="Needle Checking" sheetId="34" r:id="rId31"/>
    <sheet name="Dispatch" sheetId="35" r:id="rId32"/>
    <sheet name="Reconciliation Report" sheetId="36" r:id="rId33"/>
  </sheets>
  <definedNames>
    <definedName name="CO_BIN">#REF!</definedName>
    <definedName name="CO_Commissionerate">#REF!</definedName>
    <definedName name="CO_Declaration">#REF!</definedName>
    <definedName name="CO_Division">#REF!</definedName>
    <definedName name="CO_ExporterAddr">#REF!</definedName>
    <definedName name="CO_ExporterName">#REF!</definedName>
    <definedName name="CO_GSTIN">#REF!</definedName>
    <definedName name="CO_IEC">#REF!</definedName>
    <definedName name="CO_Origin">#REF!</definedName>
    <definedName name="CO_PlaceReceipt">#REF!</definedName>
    <definedName name="CO_PortLoading">#REF!</definedName>
    <definedName name="CO_Range">#REF!</definedName>
    <definedName name="CO_Tel">#REF!</definedName>
    <definedName name="L_AccessoriesItem">OFFSET('Master Lists'!$G$5,0,0,COUNTA('Master Lists'!$G$5:$G$500),1)</definedName>
    <definedName name="L_AuthorisedBy">OFFSET('Master Lists'!$AD$5,0,0,COUNTA('Master Lists'!$AD$5:$AD$500),1)</definedName>
    <definedName name="L_ColorCode">OFFSET('Master Lists'!$H$5,0,0,COUNTA('Master Lists'!$H$5:$H$500),1)</definedName>
    <definedName name="L_Construction">OFFSET('Master Lists'!$L$5,0,0,COUNTA('Master Lists'!$L$5:$L$500),1)</definedName>
    <definedName name="L_ContainerNo">OFFSET('Master Lists'!$Q$5,0,0,COUNTA('Master Lists'!$Q$5:$Q$500),1)</definedName>
    <definedName name="L_Count">OFFSET('Master Lists'!$K$5,0,0,COUNTA('Master Lists'!$K$5:$K$500),1)</definedName>
    <definedName name="L_Country">OFFSET('Master Lists'!$A$5,0,0,COUNTA('Master Lists'!$A$5:$A$500),1)</definedName>
    <definedName name="L_Currency">OFFSET('Master Lists'!$B$5,0,0,COUNTA('Master Lists'!$B$5:$B$500),1)</definedName>
    <definedName name="L_Decision">OFFSET('Master Lists'!$AF$5,0,0,COUNTA('Master Lists'!$AF$5:$AF$500),1)</definedName>
    <definedName name="L_DefectType">OFFSET('Master Lists'!$V$5,0,0,COUNTA('Master Lists'!$V$5:$V$500),1)</definedName>
    <definedName name="L_Department">OFFSET('Master Lists'!$N$5,0,0,COUNTA('Master Lists'!$N$5:$N$500),1)</definedName>
    <definedName name="L_Designation">OFFSET('Master Lists'!$O$5,0,0,COUNTA('Master Lists'!$O$5:$O$500),1)</definedName>
    <definedName name="L_FabricContent">OFFSET('Master Lists'!$I$5,0,0,COUNTA('Master Lists'!$I$5:$I$500),1)</definedName>
    <definedName name="L_FabricStage">OFFSET('Master Lists'!$U$5,0,0,COUNTA('Master Lists'!$U$5:$U$500),1)</definedName>
    <definedName name="L_FabricSubCat">OFFSET('Master Lists'!$F$5,0,0,COUNTA('Master Lists'!$F$5:$F$500),1)</definedName>
    <definedName name="L_GatePassType">OFFSET('Master Lists'!$AE$5,0,0,COUNTA('Master Lists'!$AE$5:$AE$500),1)</definedName>
    <definedName name="L_GRNPurpose">OFFSET('Master Lists'!$T$5,0,0,COUNTA('Master Lists'!$T$5:$T$500),1)</definedName>
    <definedName name="L_GSM">OFFSET('Master Lists'!$J$5,0,0,COUNTA('Master Lists'!$J$5:$J$500),1)</definedName>
    <definedName name="L_InformTo">OFFSET('Master Lists'!$AI$5,0,0,COUNTA('Master Lists'!$AI$5:$AI$500),1)</definedName>
    <definedName name="L_InspDefect26">OFFSET('Master Lists'!$AS$5,0,0,COUNTA('Master Lists'!$AS$5:$AS$500),1)</definedName>
    <definedName name="L_ItemCategory">OFFSET('Master Lists'!$E$5,0,0,COUNTA('Master Lists'!$E$5:$E$500),1)</definedName>
    <definedName name="L_Operation">OFFSET('Master Lists'!$AC$5,0,0,COUNTA('Master Lists'!$AC$5:$AC$500),1)</definedName>
    <definedName name="L_PaymentTerms">OFFSET('Master Lists'!$AK$5,0,0,COUNTA('Master Lists'!$AK$5:$AK$500),1)</definedName>
    <definedName name="L_PlanDept">OFFSET('Master Lists'!$AP$5,0,0,COUNTA('Master Lists'!$AP$5:$AP$500),1)</definedName>
    <definedName name="L_Process">OFFSET('Master Lists'!$R$5,0,0,COUNTA('Master Lists'!$R$5:$R$500),1)</definedName>
    <definedName name="L_Purpose">OFFSET('Master Lists'!$S$5,0,0,COUNTA('Master Lists'!$S$5:$S$500),1)</definedName>
    <definedName name="L_RejectReason">OFFSET('Master Lists'!$AJ$5,0,0,COUNTA('Master Lists'!$AJ$5:$AJ$500),1)</definedName>
    <definedName name="L_SentFor">OFFSET('Master Lists'!$AL$5,0,0,COUNTA('Master Lists'!$AL$5:$AL$500),1)</definedName>
    <definedName name="L_ShipMode">OFFSET('Master Lists'!$C$5,0,0,COUNTA('Master Lists'!$C$5:$C$500),1)</definedName>
    <definedName name="L_SizeGroup">OFFSET('Master Lists'!$M$5,0,0,COUNTA('Master Lists'!$M$5:$M$500),1)</definedName>
    <definedName name="L_StatusActive">OFFSET('Master Lists'!$Y$5,0,0,COUNTA('Master Lists'!$Y$5:$Y$500),1)</definedName>
    <definedName name="L_StatusApproval">OFFSET('Master Lists'!$X$5,0,0,COUNTA('Master Lists'!$X$5:$X$500),1)</definedName>
    <definedName name="L_StatusDispatch">OFFSET('Master Lists'!$AG$5,0,0,COUNTA('Master Lists'!$AG$5:$AG$500),1)</definedName>
    <definedName name="L_StatusDyeRecv">OFFSET('Master Lists'!$AO$5,0,0,COUNTA('Master Lists'!$AO$5:$AO$500),1)</definedName>
    <definedName name="L_StatusGatePass">OFFSET('Master Lists'!$AN$5,0,0,COUNTA('Master Lists'!$AN$5:$AN$500),1)</definedName>
    <definedName name="L_StatusGeneral">OFFSET('Master Lists'!$W$5,0,0,COUNTA('Master Lists'!$W$5:$W$500),1)</definedName>
    <definedName name="L_StatusQC">OFFSET('Master Lists'!$Z$5,0,0,COUNTA('Master Lists'!$Z$5:$Z$500),1)</definedName>
    <definedName name="L_StatusRecon">OFFSET('Master Lists'!$AH$5,0,0,COUNTA('Master Lists'!$AH$5:$AH$500),1)</definedName>
    <definedName name="L_StitchingUnit">OFFSET('Master Lists'!$P$5,0,0,COUNTA('Master Lists'!$P$5:$P$500),1)</definedName>
    <definedName name="L_StyleCategory">OFFSET('Master Lists'!$AB$5,0,0,COUNTA('Master Lists'!$AB$5:$AB$500),1)</definedName>
    <definedName name="L_UOM">OFFSET('Master Lists'!$D$5,0,0,COUNTA('Master Lists'!$D$5:$D$500),1)</definedName>
    <definedName name="L_VendorCategory">OFFSET('Master Lists'!$AA$5,0,0,COUNTA('Master Lists'!$AA$5:$AA$500),1)</definedName>
    <definedName name="L_YesNo">OFFSET('Master Lists'!$AM$5,0,0,COUNTA('Master Lists'!$AM$5:$AM$500),1)</definedName>
    <definedName name="M_BuyerCode">OFFSET('Buyer Master'!$A$7,0,0,COUNTA('Buyer Master'!$A$7:$A$500),1)</definedName>
    <definedName name="M_BuyerConsignee">OFFSET('Buyer Master'!$K$7,0,0,COUNTA('Buyer Master'!$B$7:$B$500),1)</definedName>
    <definedName name="M_BuyerConsigneeAddr">OFFSET('Buyer Master'!$L$7,0,0,COUNTA('Buyer Master'!$B$7:$B$500),1)</definedName>
    <definedName name="M_BuyerDestination">OFFSET('Buyer Master'!$O$7,0,0,COUNTA('Buyer Master'!$B$7:$B$500),1)</definedName>
    <definedName name="M_BuyerFinalDest">OFFSET('Buyer Master'!$Q$7,0,0,COUNTA('Buyer Master'!$B$7:$B$500),1)</definedName>
    <definedName name="M_BuyerFreight">OFFSET('Buyer Master'!$T$7,0,0,COUNTA('Buyer Master'!$B$7:$B$500),1)</definedName>
    <definedName name="M_BuyerIncoterm">OFFSET('Buyer Master'!$R$7,0,0,COUNTA('Buyer Master'!$B$7:$B$500),1)</definedName>
    <definedName name="M_BuyerName">OFFSET('Buyer Master'!$B$7,0,0,COUNTA('Buyer Master'!$B$7:$B$500),1)</definedName>
    <definedName name="M_BuyerNotify">OFFSET('Buyer Master'!$M$7,0,0,COUNTA('Buyer Master'!$B$7:$B$500),1)</definedName>
    <definedName name="M_BuyerNotifyAddr">OFFSET('Buyer Master'!$N$7,0,0,COUNTA('Buyer Master'!$B$7:$B$500),1)</definedName>
    <definedName name="M_BuyerPOD">OFFSET('Buyer Master'!$P$7,0,0,COUNTA('Buyer Master'!$B$7:$B$500),1)</definedName>
    <definedName name="M_BuyerRefPrefix">OFFSET('Buyer Master'!#REF!,0,0,COUNTA('Buyer Master'!$B$7:$B$500),1)</definedName>
    <definedName name="M_BuyerShipMode">OFFSET('Buyer Master'!$S$7,0,0,COUNTA('Buyer Master'!$B$7:$B$500),1)</definedName>
    <definedName name="M_ChallanNo">OFFSET('Cutting Issue'!$B$7,0,0,COUNTA('Cutting Issue'!$B$7:$B$500),1)</definedName>
    <definedName name="M_EmpID">OFFSET('Employee Master'!$A$7,0,0,COUNTA('Employee Master'!$A$7:$A$500),1)</definedName>
    <definedName name="M_EmpName">OFFSET('Employee Master'!$B$7,0,0,COUNTA('Employee Master'!$B$7:$B$500),1)</definedName>
    <definedName name="M_FabricNo">OFFSET('Fabric Issue'!$C$7,0,0,COUNTA('Fabric Issue'!$C$7:$C$500),1)</definedName>
    <definedName name="M_OrderNo">OFFSET(Order!$A$7,0,0,COUNTA(Order!$A$7:$A$500),1)</definedName>
    <definedName name="M_POID">OFFSET(PO!$A$7,0,0,COUNTA(PO!$A$7:$A$500),1)</definedName>
    <definedName name="M_StyleNo">OFFSET('Style Master'!$A$7,0,0,COUNTA('Style Master'!$A$7:$A$500),1)</definedName>
    <definedName name="M_VendorCode">OFFSET('Vendor Master'!$A$7,0,0,COUNTA('Vendor Master'!$A$7:$A$500),1)</definedName>
    <definedName name="M_VendorName">OFFSET('Vendor Master'!$B$7,0,0,COUNTA('Vendor Master'!$B$7:$B$500),1)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36" l="1"/>
  <c r="I12" i="36"/>
  <c r="I11" i="36"/>
  <c r="I10" i="36"/>
  <c r="I9" i="36"/>
  <c r="I8" i="36"/>
  <c r="I7" i="36"/>
  <c r="D11" i="35"/>
  <c r="C11" i="35"/>
  <c r="D10" i="35"/>
  <c r="C10" i="35"/>
  <c r="D9" i="35"/>
  <c r="C9" i="35"/>
  <c r="D8" i="35"/>
  <c r="C8" i="35"/>
  <c r="D7" i="35"/>
  <c r="C7" i="35"/>
  <c r="O14" i="34"/>
  <c r="O13" i="34"/>
  <c r="O12" i="34"/>
  <c r="O11" i="34"/>
  <c r="O10" i="34"/>
  <c r="O9" i="34"/>
  <c r="O8" i="34"/>
  <c r="O7" i="34"/>
  <c r="O6" i="34"/>
  <c r="R11" i="33"/>
  <c r="N11" i="33"/>
  <c r="M11" i="33"/>
  <c r="J11" i="33"/>
  <c r="R10" i="33"/>
  <c r="N10" i="33"/>
  <c r="M10" i="33"/>
  <c r="J10" i="33"/>
  <c r="R9" i="33"/>
  <c r="N9" i="33"/>
  <c r="M9" i="33"/>
  <c r="J9" i="33"/>
  <c r="R8" i="33"/>
  <c r="N8" i="33"/>
  <c r="M8" i="33"/>
  <c r="J8" i="33"/>
  <c r="G13" i="32"/>
  <c r="G12" i="32"/>
  <c r="G11" i="32"/>
  <c r="G10" i="32"/>
  <c r="G9" i="32"/>
  <c r="G8" i="32"/>
  <c r="G7" i="32"/>
  <c r="G13" i="31"/>
  <c r="G12" i="31"/>
  <c r="G11" i="31"/>
  <c r="G10" i="31"/>
  <c r="G9" i="31"/>
  <c r="G8" i="31"/>
  <c r="G7" i="31"/>
  <c r="G13" i="30"/>
  <c r="G12" i="30"/>
  <c r="G11" i="30"/>
  <c r="G10" i="30"/>
  <c r="G9" i="30"/>
  <c r="G8" i="30"/>
  <c r="G7" i="30"/>
  <c r="G32" i="29"/>
  <c r="E36" i="29" s="1"/>
  <c r="F32" i="29"/>
  <c r="E35" i="29" s="1"/>
  <c r="E32" i="29"/>
  <c r="E34" i="29" s="1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G13" i="22"/>
  <c r="G12" i="22"/>
  <c r="G11" i="22"/>
  <c r="G10" i="22"/>
  <c r="G9" i="22"/>
  <c r="G8" i="22"/>
  <c r="G7" i="22"/>
  <c r="J13" i="21"/>
  <c r="J12" i="21"/>
  <c r="J11" i="21"/>
  <c r="J10" i="21"/>
  <c r="J9" i="21"/>
  <c r="J8" i="21"/>
  <c r="J7" i="21"/>
  <c r="P14" i="16"/>
  <c r="P13" i="16"/>
  <c r="P12" i="16"/>
  <c r="P11" i="16"/>
  <c r="P10" i="16"/>
  <c r="P9" i="16"/>
  <c r="P8" i="16"/>
  <c r="M13" i="14"/>
  <c r="M12" i="14"/>
  <c r="M11" i="14"/>
  <c r="M10" i="14"/>
  <c r="M9" i="14"/>
  <c r="M8" i="14"/>
  <c r="M7" i="14"/>
  <c r="I13" i="13"/>
  <c r="I12" i="13"/>
  <c r="I11" i="13"/>
  <c r="I10" i="13"/>
  <c r="I9" i="13"/>
  <c r="I8" i="13"/>
  <c r="I7" i="13"/>
  <c r="L13" i="12"/>
  <c r="L12" i="12"/>
  <c r="L11" i="12"/>
  <c r="L10" i="12"/>
  <c r="L9" i="12"/>
  <c r="L8" i="12"/>
  <c r="L7" i="12"/>
  <c r="H13" i="11"/>
  <c r="H12" i="11"/>
  <c r="H11" i="11"/>
  <c r="H10" i="11"/>
  <c r="H9" i="11"/>
  <c r="H8" i="11"/>
  <c r="H7" i="11"/>
  <c r="Y13" i="28"/>
  <c r="X13" i="28"/>
  <c r="W13" i="28"/>
  <c r="X12" i="28"/>
  <c r="Y12" i="28" s="1"/>
  <c r="W12" i="28"/>
  <c r="X11" i="28"/>
  <c r="Y11" i="28" s="1"/>
  <c r="X10" i="28"/>
  <c r="Y10" i="28" s="1"/>
  <c r="Y9" i="28"/>
  <c r="X9" i="28"/>
  <c r="W9" i="28"/>
  <c r="X8" i="28"/>
  <c r="Y8" i="28" s="1"/>
  <c r="W8" i="28"/>
  <c r="X7" i="28"/>
  <c r="Y7" i="28" s="1"/>
  <c r="H32" i="29" l="1"/>
  <c r="E37" i="29" s="1"/>
  <c r="E39" i="29"/>
  <c r="E38" i="29"/>
  <c r="W10" i="28"/>
  <c r="W7" i="28"/>
  <c r="W11" i="28"/>
</calcChain>
</file>

<file path=xl/sharedStrings.xml><?xml version="1.0" encoding="utf-8"?>
<sst xmlns="http://schemas.openxmlformats.org/spreadsheetml/2006/main" count="2675" uniqueCount="970">
  <si>
    <t>Role Acess - Head Office / Admin</t>
  </si>
  <si>
    <t>SEKAWATI IMPEX</t>
  </si>
  <si>
    <t>Master Lists - all dropdown values (add new values at the bottom of a column; dropdowns update automatically)</t>
  </si>
  <si>
    <t>Country</t>
  </si>
  <si>
    <t>Currency</t>
  </si>
  <si>
    <t>ShipMode</t>
  </si>
  <si>
    <t>UOM</t>
  </si>
  <si>
    <t>ItemCategory</t>
  </si>
  <si>
    <t>FabricSubCat</t>
  </si>
  <si>
    <t>AccessoriesItem</t>
  </si>
  <si>
    <t>ColorCode</t>
  </si>
  <si>
    <t>FabricContent</t>
  </si>
  <si>
    <t>GSM</t>
  </si>
  <si>
    <t>Count</t>
  </si>
  <si>
    <t>Construction</t>
  </si>
  <si>
    <t>SizeGroup</t>
  </si>
  <si>
    <t>Department</t>
  </si>
  <si>
    <t>Designation</t>
  </si>
  <si>
    <t>StitchingUnit</t>
  </si>
  <si>
    <t>ContainerNo</t>
  </si>
  <si>
    <t>Process</t>
  </si>
  <si>
    <t>Purpose</t>
  </si>
  <si>
    <t>GRNPurpose</t>
  </si>
  <si>
    <t>FabricStage</t>
  </si>
  <si>
    <t>DefectType</t>
  </si>
  <si>
    <t>StatusGeneral</t>
  </si>
  <si>
    <t>StatusApproval</t>
  </si>
  <si>
    <t>StatusActive</t>
  </si>
  <si>
    <t>StatusQC</t>
  </si>
  <si>
    <t>VendorCategory</t>
  </si>
  <si>
    <t>StyleCategory</t>
  </si>
  <si>
    <t>Operation</t>
  </si>
  <si>
    <t>AuthorisedBy</t>
  </si>
  <si>
    <t>GatePassType</t>
  </si>
  <si>
    <t>Decision</t>
  </si>
  <si>
    <t>StatusDispatch</t>
  </si>
  <si>
    <t>StatusRecon</t>
  </si>
  <si>
    <t>InformTo</t>
  </si>
  <si>
    <t>RejectReason</t>
  </si>
  <si>
    <t>PaymentTerms</t>
  </si>
  <si>
    <t>SentFor</t>
  </si>
  <si>
    <t>YesNo</t>
  </si>
  <si>
    <t>StatusGatePass</t>
  </si>
  <si>
    <t>StatusDyeRecv</t>
  </si>
  <si>
    <t>PlanDept</t>
  </si>
  <si>
    <t>InspDefect26</t>
  </si>
  <si>
    <t>India</t>
  </si>
  <si>
    <t>USD</t>
  </si>
  <si>
    <t>Ship</t>
  </si>
  <si>
    <t>Mtrs</t>
  </si>
  <si>
    <t>Fabric</t>
  </si>
  <si>
    <t>8 oz</t>
  </si>
  <si>
    <t>Button</t>
  </si>
  <si>
    <t>Natural</t>
  </si>
  <si>
    <t>100% Cotton</t>
  </si>
  <si>
    <t>220 GSM</t>
  </si>
  <si>
    <t>10x6</t>
  </si>
  <si>
    <t>76x28</t>
  </si>
  <si>
    <t>Free Size</t>
  </si>
  <si>
    <t>Procurement</t>
  </si>
  <si>
    <t>Checker</t>
  </si>
  <si>
    <t>Unit 1 - Anil Kumar</t>
  </si>
  <si>
    <t>CN-91</t>
  </si>
  <si>
    <t>Dyeing</t>
  </si>
  <si>
    <t>Cutting</t>
  </si>
  <si>
    <t>Raw Material</t>
  </si>
  <si>
    <t>Before Stitching</t>
  </si>
  <si>
    <t>Untrimmed Thread</t>
  </si>
  <si>
    <t>Pending</t>
  </si>
  <si>
    <t>Active</t>
  </si>
  <si>
    <t>Approved</t>
  </si>
  <si>
    <t>Tote Bag</t>
  </si>
  <si>
    <t>Body Stitch</t>
  </si>
  <si>
    <t>Dinesh Sir</t>
  </si>
  <si>
    <t>Inward</t>
  </si>
  <si>
    <t>Accept</t>
  </si>
  <si>
    <t>Matched</t>
  </si>
  <si>
    <t>Unit Incharge</t>
  </si>
  <si>
    <t>Advance 30% + 70% on BL</t>
  </si>
  <si>
    <t>Alteration</t>
  </si>
  <si>
    <t>Yes</t>
  </si>
  <si>
    <t>OK</t>
  </si>
  <si>
    <t>Stitch skipping</t>
  </si>
  <si>
    <t>USA</t>
  </si>
  <si>
    <t>EUR</t>
  </si>
  <si>
    <t>Air</t>
  </si>
  <si>
    <t>Kg</t>
  </si>
  <si>
    <t>Accessories</t>
  </si>
  <si>
    <t>10 oz</t>
  </si>
  <si>
    <t>Zipper</t>
  </si>
  <si>
    <t>Night Black</t>
  </si>
  <si>
    <t>100% Jute</t>
  </si>
  <si>
    <t>260 GSM</t>
  </si>
  <si>
    <t>12x12</t>
  </si>
  <si>
    <t>60x60</t>
  </si>
  <si>
    <t>Small</t>
  </si>
  <si>
    <t>Planning</t>
  </si>
  <si>
    <t>Operator</t>
  </si>
  <si>
    <t>Unit 2 - Mahipal</t>
  </si>
  <si>
    <t>CN-92</t>
  </si>
  <si>
    <t>Printing</t>
  </si>
  <si>
    <t>After Stitching</t>
  </si>
  <si>
    <t>Handle Out</t>
  </si>
  <si>
    <t>In Progress</t>
  </si>
  <si>
    <t>Inactive</t>
  </si>
  <si>
    <t>Rejected</t>
  </si>
  <si>
    <t>Basic Bag</t>
  </si>
  <si>
    <t>Handle Attach</t>
  </si>
  <si>
    <t>Vinay ji (GM)</t>
  </si>
  <si>
    <t>Outward</t>
  </si>
  <si>
    <t>Reject</t>
  </si>
  <si>
    <t>Dispatched</t>
  </si>
  <si>
    <t>Variance Found</t>
  </si>
  <si>
    <t>QC Head</t>
  </si>
  <si>
    <t>LC 60 Days</t>
  </si>
  <si>
    <t>Spot Rectification</t>
  </si>
  <si>
    <t>No</t>
  </si>
  <si>
    <t>Cleared</t>
  </si>
  <si>
    <t>Sent to Scrutiny</t>
  </si>
  <si>
    <t>Stitching</t>
  </si>
  <si>
    <t>Open stitch</t>
  </si>
  <si>
    <t>UK</t>
  </si>
  <si>
    <t>GBP</t>
  </si>
  <si>
    <t>Road</t>
  </si>
  <si>
    <t>Pcs</t>
  </si>
  <si>
    <t>Handle</t>
  </si>
  <si>
    <t>12 oz</t>
  </si>
  <si>
    <t>Cotton Handle</t>
  </si>
  <si>
    <t>Navy Blue</t>
  </si>
  <si>
    <t>Cotton-Poly 80:20</t>
  </si>
  <si>
    <t>280 GSM</t>
  </si>
  <si>
    <t>16x12</t>
  </si>
  <si>
    <t>48x28</t>
  </si>
  <si>
    <t>Medium</t>
  </si>
  <si>
    <t>Tailor</t>
  </si>
  <si>
    <t>Unit 3 - Ramesh</t>
  </si>
  <si>
    <t>CN-93</t>
  </si>
  <si>
    <t>Washing</t>
  </si>
  <si>
    <t>Handle Size</t>
  </si>
  <si>
    <t>Completed</t>
  </si>
  <si>
    <t>Purse</t>
  </si>
  <si>
    <t>Hemming</t>
  </si>
  <si>
    <t>Rework</t>
  </si>
  <si>
    <t>In Transit</t>
  </si>
  <si>
    <t>Supervisor</t>
  </si>
  <si>
    <t>TT 30 Days</t>
  </si>
  <si>
    <t>Scrap</t>
  </si>
  <si>
    <t>Shipping</t>
  </si>
  <si>
    <t>Sewing shifted / Uneven</t>
  </si>
  <si>
    <t>Netherlands</t>
  </si>
  <si>
    <t>INR</t>
  </si>
  <si>
    <t>Courier</t>
  </si>
  <si>
    <t>Roll</t>
  </si>
  <si>
    <t>14 oz</t>
  </si>
  <si>
    <t>Jute Handle</t>
  </si>
  <si>
    <t>Olive Green</t>
  </si>
  <si>
    <t>Recycled Cotton</t>
  </si>
  <si>
    <t>320 GSM</t>
  </si>
  <si>
    <t>20x20</t>
  </si>
  <si>
    <t>68x38</t>
  </si>
  <si>
    <t>Large</t>
  </si>
  <si>
    <t>Unit 4 - Suresh</t>
  </si>
  <si>
    <t>CN-94</t>
  </si>
  <si>
    <t>Finishing</t>
  </si>
  <si>
    <t>Job Work Return</t>
  </si>
  <si>
    <t>Without Label</t>
  </si>
  <si>
    <t>On Hold</t>
  </si>
  <si>
    <t>Pouch</t>
  </si>
  <si>
    <t>Label Attach</t>
  </si>
  <si>
    <t>Delivered</t>
  </si>
  <si>
    <t>Production Manager</t>
  </si>
  <si>
    <t>Hard Stain</t>
  </si>
  <si>
    <t>TT 45 Days</t>
  </si>
  <si>
    <t>Sewing shifted / Gathering</t>
  </si>
  <si>
    <t>Germany</t>
  </si>
  <si>
    <t>AUD</t>
  </si>
  <si>
    <t>Box</t>
  </si>
  <si>
    <t>Label</t>
  </si>
  <si>
    <t>16 oz</t>
  </si>
  <si>
    <t>Woven Label</t>
  </si>
  <si>
    <t>Burgundy</t>
  </si>
  <si>
    <t>Canvas Cotton</t>
  </si>
  <si>
    <t>340 GSM</t>
  </si>
  <si>
    <t>8x4</t>
  </si>
  <si>
    <t>XL</t>
  </si>
  <si>
    <t>Manager</t>
  </si>
  <si>
    <t>CN-95</t>
  </si>
  <si>
    <t>Return</t>
  </si>
  <si>
    <t>Slanted Label</t>
  </si>
  <si>
    <t>Cancelled</t>
  </si>
  <si>
    <t>Stitching Unit</t>
  </si>
  <si>
    <t>Shopper</t>
  </si>
  <si>
    <t>Lupi Stitch</t>
  </si>
  <si>
    <t>Dye</t>
  </si>
  <si>
    <t>Net 90</t>
  </si>
  <si>
    <t>Over / Double stitch</t>
  </si>
  <si>
    <t>France</t>
  </si>
  <si>
    <t>AED</t>
  </si>
  <si>
    <t>Set</t>
  </si>
  <si>
    <t>Thread</t>
  </si>
  <si>
    <t>Canvas 10x6</t>
  </si>
  <si>
    <t>Care Label</t>
  </si>
  <si>
    <t>Off White</t>
  </si>
  <si>
    <t>400 GSM</t>
  </si>
  <si>
    <t>QC</t>
  </si>
  <si>
    <t>GM</t>
  </si>
  <si>
    <t>Sampling</t>
  </si>
  <si>
    <t>Double Lupi</t>
  </si>
  <si>
    <t>External QC</t>
  </si>
  <si>
    <t>Gusset Stitch</t>
  </si>
  <si>
    <t>Yarn cutting / Uncut thread</t>
  </si>
  <si>
    <t>Sweden</t>
  </si>
  <si>
    <t>Dozen</t>
  </si>
  <si>
    <t>Canvas 12x12</t>
  </si>
  <si>
    <t>Hang Tag</t>
  </si>
  <si>
    <t>Khaki</t>
  </si>
  <si>
    <t>Packing</t>
  </si>
  <si>
    <t>Director</t>
  </si>
  <si>
    <t>Other</t>
  </si>
  <si>
    <t>Without Lupi</t>
  </si>
  <si>
    <t>Transport</t>
  </si>
  <si>
    <t>Final Trim</t>
  </si>
  <si>
    <t>Blind-stitch defect / Open seam</t>
  </si>
  <si>
    <t>Australia</t>
  </si>
  <si>
    <t>Packaging Material</t>
  </si>
  <si>
    <t>Rivet</t>
  </si>
  <si>
    <t>Rust</t>
  </si>
  <si>
    <t>Dispatch</t>
  </si>
  <si>
    <t>Wrong Side Lupi</t>
  </si>
  <si>
    <t>Pilling / Fly yarn</t>
  </si>
  <si>
    <t>UAE</t>
  </si>
  <si>
    <t>D-Ring</t>
  </si>
  <si>
    <t>Weaving Defect</t>
  </si>
  <si>
    <t>Press</t>
  </si>
  <si>
    <t>Cut/Hole</t>
  </si>
  <si>
    <t>Over / Doubling stitch</t>
  </si>
  <si>
    <t>Improper Hem</t>
  </si>
  <si>
    <t>Fabric no strength / Fabric fault</t>
  </si>
  <si>
    <t>Double Stitch</t>
  </si>
  <si>
    <t>Side stitch / Overlock</t>
  </si>
  <si>
    <t>Without Stitch</t>
  </si>
  <si>
    <t>Colour difference / Shade</t>
  </si>
  <si>
    <t>Torn</t>
  </si>
  <si>
    <t>Size difference</t>
  </si>
  <si>
    <t>Stain</t>
  </si>
  <si>
    <t>Breakage / Damage / Eyelet breakage</t>
  </si>
  <si>
    <t>Dyeing Shade Variation</t>
  </si>
  <si>
    <t>Needle hole</t>
  </si>
  <si>
    <t>Thread breakage / Broken stitch</t>
  </si>
  <si>
    <t>Dirt / Spot</t>
  </si>
  <si>
    <t>Walking shade / Running shade</t>
  </si>
  <si>
    <t>Overlock tension</t>
  </si>
  <si>
    <t>Label mistake</t>
  </si>
  <si>
    <t>Handle placement</t>
  </si>
  <si>
    <t>Pressing mark</t>
  </si>
  <si>
    <t>Oil spot / Stain</t>
  </si>
  <si>
    <t>Chalk mark</t>
  </si>
  <si>
    <t>Fastener opening / Closing defect</t>
  </si>
  <si>
    <t>Buyer Master</t>
  </si>
  <si>
    <t>Buyer Code</t>
  </si>
  <si>
    <t>Buyer Name</t>
  </si>
  <si>
    <t>Address</t>
  </si>
  <si>
    <t>Contact Person</t>
  </si>
  <si>
    <t>Email</t>
  </si>
  <si>
    <t>Phone</t>
  </si>
  <si>
    <t>Payment Terms</t>
  </si>
  <si>
    <t>Status</t>
  </si>
  <si>
    <t>Consignee Name</t>
  </si>
  <si>
    <t>Consignee Address</t>
  </si>
  <si>
    <t>Notify Party Name</t>
  </si>
  <si>
    <t>Notify Party Address</t>
  </si>
  <si>
    <t>Destination</t>
  </si>
  <si>
    <t>Port of Discharge</t>
  </si>
  <si>
    <t>Final Destination</t>
  </si>
  <si>
    <t>Price Terms (Incoterm)</t>
  </si>
  <si>
    <t>Ship Mode</t>
  </si>
  <si>
    <t>Freight Terms</t>
  </si>
  <si>
    <t>Auto</t>
  </si>
  <si>
    <t>Manual</t>
  </si>
  <si>
    <t>Dropdown</t>
  </si>
  <si>
    <t>Active/Inactive</t>
  </si>
  <si>
    <t>Trade Word</t>
  </si>
  <si>
    <t>12 Harbour Road, New York</t>
  </si>
  <si>
    <t>Michael Reed</t>
  </si>
  <si>
    <t>michael@tradeword.com</t>
  </si>
  <si>
    <t>+1 212 555 0142</t>
  </si>
  <si>
    <t>Trade Works Co. Ltd</t>
  </si>
  <si>
    <t>7F, Shibuya-Shinminamiguchi bldg, 3-28-13, Shibuya, Shibuya-ku, Tokyo 150-0002, Japan</t>
  </si>
  <si>
    <t>TRADE WORKS ASIA LIMITED</t>
  </si>
  <si>
    <t>1602A-3A, Tower 6, China HK City, 33 Canton Road, Tsim Sha Tsui, Kowloon, Hong Kong</t>
  </si>
  <si>
    <t>Japan</t>
  </si>
  <si>
    <t>Tokyo</t>
  </si>
  <si>
    <t>JAPAN</t>
  </si>
  <si>
    <t>FOB Jaipur, India</t>
  </si>
  <si>
    <t>Collect</t>
  </si>
  <si>
    <t>TWA#</t>
  </si>
  <si>
    <t>Global Bags Ltd</t>
  </si>
  <si>
    <t>45 Camden High St, London</t>
  </si>
  <si>
    <t>Sarah Whitmore</t>
  </si>
  <si>
    <t>sarah@globalbags.co.uk</t>
  </si>
  <si>
    <t>+44 20 7946 0321</t>
  </si>
  <si>
    <t>45 Camden High St, London NW1 7JE, United Kingdom</t>
  </si>
  <si>
    <t>Tilbury</t>
  </si>
  <si>
    <t>UNITED KINGDOM</t>
  </si>
  <si>
    <t>Prepaid</t>
  </si>
  <si>
    <t>GBL#</t>
  </si>
  <si>
    <t>EcoCarry BV</t>
  </si>
  <si>
    <t>Keizersgracht 210, Amsterdam</t>
  </si>
  <si>
    <t>Jan de Vries</t>
  </si>
  <si>
    <t>jan@ecocarry.nl</t>
  </si>
  <si>
    <t>+31 20 626 4471</t>
  </si>
  <si>
    <t>Keizersgracht 210, 1016 DX Amsterdam, Netherlands</t>
  </si>
  <si>
    <t>Rotterdam</t>
  </si>
  <si>
    <t>NETHERLANDS</t>
  </si>
  <si>
    <t>ECO#</t>
  </si>
  <si>
    <t>Urban Tote Inc</t>
  </si>
  <si>
    <t>880 Market St, San Francisco</t>
  </si>
  <si>
    <t>Laura Chen</t>
  </si>
  <si>
    <t>laura@urbantote.com</t>
  </si>
  <si>
    <t>+1 415 555 0198</t>
  </si>
  <si>
    <t>880 Market St, San Francisco, CA 94102, USA</t>
  </si>
  <si>
    <t>Oakland</t>
  </si>
  <si>
    <t>UTI#</t>
  </si>
  <si>
    <t>Nordic Sacks AB</t>
  </si>
  <si>
    <t>Sveavagen 44, Stockholm</t>
  </si>
  <si>
    <t>Erik Lindqvist</t>
  </si>
  <si>
    <t>erik@nordicsacks.se</t>
  </si>
  <si>
    <t>+46 8 545 1220</t>
  </si>
  <si>
    <t>Sveavagen 44, 111 34 Stockholm, Sweden</t>
  </si>
  <si>
    <t>Stockholm</t>
  </si>
  <si>
    <t>SWEDEN</t>
  </si>
  <si>
    <t>NSA#</t>
  </si>
  <si>
    <t>Maison Sac SARL</t>
  </si>
  <si>
    <t>18 Rue de Rivoli, Paris</t>
  </si>
  <si>
    <t>Claire Dubois</t>
  </si>
  <si>
    <t>claire@maisonsac.fr</t>
  </si>
  <si>
    <t>+33 1 4260 3388</t>
  </si>
  <si>
    <t>18 Rue de Rivoli, 75004 Paris, France</t>
  </si>
  <si>
    <t>Le Havre</t>
  </si>
  <si>
    <t>FRANCE</t>
  </si>
  <si>
    <t>MSS#</t>
  </si>
  <si>
    <t>Aussie Carry Pty</t>
  </si>
  <si>
    <t>7 Collins St, Melbourne</t>
  </si>
  <si>
    <t>Tom Hargreave</t>
  </si>
  <si>
    <t>tom@aussiecarry.com.au</t>
  </si>
  <si>
    <t>+61 3 9600 2214</t>
  </si>
  <si>
    <t>7 Collins St, Melbourne VIC 3000, Australia</t>
  </si>
  <si>
    <t>Melbourne</t>
  </si>
  <si>
    <t>AUSTRALIA</t>
  </si>
  <si>
    <t>ACP#</t>
  </si>
  <si>
    <t>Vendor Master</t>
  </si>
  <si>
    <t>Vendor Code</t>
  </si>
  <si>
    <t>Vendor Name</t>
  </si>
  <si>
    <t>Category</t>
  </si>
  <si>
    <t>GST No</t>
  </si>
  <si>
    <t>Bank Details</t>
  </si>
  <si>
    <t>Remarks</t>
  </si>
  <si>
    <t>Text</t>
  </si>
  <si>
    <t>VEN-001</t>
  </si>
  <si>
    <t>Rajasthan Fabrics</t>
  </si>
  <si>
    <t>Plot 12, RIICO Area, Jaipur</t>
  </si>
  <si>
    <t>08AABCR1234K1Z5</t>
  </si>
  <si>
    <t>Suresh Agarwal</t>
  </si>
  <si>
    <t>+91 98290 11223</t>
  </si>
  <si>
    <t>sales@rajfabrics.in</t>
  </si>
  <si>
    <t>HDFC 50200012345678</t>
  </si>
  <si>
    <t>Primary canvas supplier</t>
  </si>
  <si>
    <t>VEN-002</t>
  </si>
  <si>
    <t>Metro Accessories</t>
  </si>
  <si>
    <t>Shop 8, Johri Bazar, Jaipur</t>
  </si>
  <si>
    <t>08AACCM5678L1Z2</t>
  </si>
  <si>
    <t>Vikram Jain</t>
  </si>
  <si>
    <t>+91 98280 44556</t>
  </si>
  <si>
    <t>info@metroacc.in</t>
  </si>
  <si>
    <t>ICICI 001905001234</t>
  </si>
  <si>
    <t>Buttons, zippers, labels</t>
  </si>
  <si>
    <t>VEN-003</t>
  </si>
  <si>
    <t>Shilpa Tex</t>
  </si>
  <si>
    <t>Bagru, Jaipur - 303007</t>
  </si>
  <si>
    <t>08AADCS9012M1Z8</t>
  </si>
  <si>
    <t>Ramavtar Sharma</t>
  </si>
  <si>
    <t>+91 94140 77889</t>
  </si>
  <si>
    <t>shilpatex@gmail.com</t>
  </si>
  <si>
    <t>SBI 30124567890</t>
  </si>
  <si>
    <t>2-3% shrinkage standard</t>
  </si>
  <si>
    <t>VEN-004</t>
  </si>
  <si>
    <t>Bagru Prints</t>
  </si>
  <si>
    <t>Bagru Industrial Area, Jaipur</t>
  </si>
  <si>
    <t>08AAECB3456N1Z4</t>
  </si>
  <si>
    <t>Mahesh Chhipa</t>
  </si>
  <si>
    <t>+91 93140 22110</t>
  </si>
  <si>
    <t>bagruprints@gmail.com</t>
  </si>
  <si>
    <t>PNB 0456002000123</t>
  </si>
  <si>
    <t>Hand block + screen</t>
  </si>
  <si>
    <t>VEN-005</t>
  </si>
  <si>
    <t>Sempax Unit 1</t>
  </si>
  <si>
    <t>Sitapura, Jaipur</t>
  </si>
  <si>
    <t>08AAFCS7890P1Z9</t>
  </si>
  <si>
    <t>Naresh Gupta</t>
  </si>
  <si>
    <t>+91 99280 33445</t>
  </si>
  <si>
    <t>unit1@sempax.in</t>
  </si>
  <si>
    <t>Axis 918020034567</t>
  </si>
  <si>
    <t>Roll printing</t>
  </si>
  <si>
    <t>VEN-006</t>
  </si>
  <si>
    <t>Anil Kumar Stitching</t>
  </si>
  <si>
    <t>Sanganer, Jaipur</t>
  </si>
  <si>
    <t>08AAGCA2345Q1Z1</t>
  </si>
  <si>
    <t>Anil Kumar</t>
  </si>
  <si>
    <t>+91 96490 55667</t>
  </si>
  <si>
    <t>anilstitch@gmail.com</t>
  </si>
  <si>
    <t>BOB 04510100012345</t>
  </si>
  <si>
    <t>Contract - paid per piece</t>
  </si>
  <si>
    <t>VEN-007</t>
  </si>
  <si>
    <t>QualiCheck Services</t>
  </si>
  <si>
    <t>Malviya Nagar, Jaipur</t>
  </si>
  <si>
    <t>08AAHCQ6789R1Z6</t>
  </si>
  <si>
    <t>Priya Nair</t>
  </si>
  <si>
    <t>+91 90010 88990</t>
  </si>
  <si>
    <t>ops@qualicheck.in</t>
  </si>
  <si>
    <t>Kotak 8712345601</t>
  </si>
  <si>
    <t>Sorts approved/rejected/alter</t>
  </si>
  <si>
    <t>Style Master (BOM)</t>
  </si>
  <si>
    <t>Style No</t>
  </si>
  <si>
    <t>Style Description</t>
  </si>
  <si>
    <t>Buyer</t>
  </si>
  <si>
    <t>Fabric Content</t>
  </si>
  <si>
    <t>Avg Fabric Utilization / Pc</t>
  </si>
  <si>
    <t>Size Group</t>
  </si>
  <si>
    <t>Image Ref</t>
  </si>
  <si>
    <t>Master - Buyer Master</t>
  </si>
  <si>
    <t>TR-0751-008</t>
  </si>
  <si>
    <t>Tote Bag - Long Handle Canvas</t>
  </si>
  <si>
    <t>IMG/TR0751008.jpg</t>
  </si>
  <si>
    <t>Best seller</t>
  </si>
  <si>
    <t>TR-0751-009</t>
  </si>
  <si>
    <t>Tote Bag - Short Handle</t>
  </si>
  <si>
    <t>IMG/TR0751009.jpg</t>
  </si>
  <si>
    <t>TR-0752-101</t>
  </si>
  <si>
    <t>Shopper Bag - Gusset</t>
  </si>
  <si>
    <t>IMG/TR0752101.jpg</t>
  </si>
  <si>
    <t>Gusset + base board</t>
  </si>
  <si>
    <t>PU-0330-045</t>
  </si>
  <si>
    <t>Purse Basic - Zip Top</t>
  </si>
  <si>
    <t>IMG/PU0330045.jpg</t>
  </si>
  <si>
    <t>Zipper from Metro</t>
  </si>
  <si>
    <t>PU-0330-046</t>
  </si>
  <si>
    <t>Purse Basic - Flap</t>
  </si>
  <si>
    <t>IMG/PU0330046.jpg</t>
  </si>
  <si>
    <t>TB-0910-012</t>
  </si>
  <si>
    <t>Tote Bag - Printed Panel</t>
  </si>
  <si>
    <t>IMG/TB0910012.jpg</t>
  </si>
  <si>
    <t>Print before stitching</t>
  </si>
  <si>
    <t>BS-0455-003</t>
  </si>
  <si>
    <t>Basic Bag - Jute Handle</t>
  </si>
  <si>
    <t>IMG/BS0455003.jpg</t>
  </si>
  <si>
    <t>Employee Master</t>
  </si>
  <si>
    <t>Emp ID</t>
  </si>
  <si>
    <t>Emp Name</t>
  </si>
  <si>
    <t>Unit / Line</t>
  </si>
  <si>
    <t>Procurement/Cutting/Stitching/QC/Packing/Dispatch</t>
  </si>
  <si>
    <t>Checker/Operator/Supervisor/Manager</t>
  </si>
  <si>
    <t>EMP-001</t>
  </si>
  <si>
    <t>Maharaj Singh</t>
  </si>
  <si>
    <t>Cutting Floor</t>
  </si>
  <si>
    <t>EMP-002</t>
  </si>
  <si>
    <t>EMP-003</t>
  </si>
  <si>
    <t>Mahipal Yadav</t>
  </si>
  <si>
    <t>EMP-004</t>
  </si>
  <si>
    <t>Sunita Devi</t>
  </si>
  <si>
    <t>QC Hall</t>
  </si>
  <si>
    <t>EMP-005</t>
  </si>
  <si>
    <t>Rekha Sharma</t>
  </si>
  <si>
    <t>EMP-006</t>
  </si>
  <si>
    <t>Vinay Sharma</t>
  </si>
  <si>
    <t>Head Office</t>
  </si>
  <si>
    <t>EMP-007</t>
  </si>
  <si>
    <t>Pooja Meena</t>
  </si>
  <si>
    <t>Packing Hall</t>
  </si>
  <si>
    <t>EMP-008</t>
  </si>
  <si>
    <t>Ravi Prajapat</t>
  </si>
  <si>
    <t>EMP-009</t>
  </si>
  <si>
    <t>EMP-010</t>
  </si>
  <si>
    <t>Ramesh Kumar</t>
  </si>
  <si>
    <t>EMP-011</t>
  </si>
  <si>
    <t>Suresh Meena</t>
  </si>
  <si>
    <t>Role Acess - Merchandising Team</t>
  </si>
  <si>
    <t>Order Format</t>
  </si>
  <si>
    <t>Order No</t>
  </si>
  <si>
    <t>Order Date</t>
  </si>
  <si>
    <t>Item Description</t>
  </si>
  <si>
    <t>Bill To</t>
  </si>
  <si>
    <t>Ship to</t>
  </si>
  <si>
    <t>Buyer Delivery Date</t>
  </si>
  <si>
    <t>Order Qty</t>
  </si>
  <si>
    <t>Color Code</t>
  </si>
  <si>
    <t>Excess</t>
  </si>
  <si>
    <t>Approval from dinesh sir</t>
  </si>
  <si>
    <t>Master</t>
  </si>
  <si>
    <t>B9641IS</t>
  </si>
  <si>
    <t>Trade Word, New York</t>
  </si>
  <si>
    <t>Trade Word DC, New Jersey</t>
  </si>
  <si>
    <t>First shipment of season</t>
  </si>
  <si>
    <t>B9646IS</t>
  </si>
  <si>
    <t>B9652IS</t>
  </si>
  <si>
    <t>Global Bags, London</t>
  </si>
  <si>
    <t>Global Bags DC, Tilbury</t>
  </si>
  <si>
    <t>Base board required</t>
  </si>
  <si>
    <t>B9658IS</t>
  </si>
  <si>
    <t>EcoCarry, Amsterdam</t>
  </si>
  <si>
    <t>Rotterdam Port</t>
  </si>
  <si>
    <t>B9663IS</t>
  </si>
  <si>
    <t>Urban Tote, SF</t>
  </si>
  <si>
    <t>Oakland DC</t>
  </si>
  <si>
    <t>B9670IS</t>
  </si>
  <si>
    <t>Nordic Sacks, Sthlm</t>
  </si>
  <si>
    <t>Stockholm DC</t>
  </si>
  <si>
    <t>B9675IS</t>
  </si>
  <si>
    <t>Role Acess - Planning Dept (Operator/GM)</t>
  </si>
  <si>
    <t>Container No</t>
  </si>
  <si>
    <t>Date</t>
  </si>
  <si>
    <t>Deliverable Size</t>
  </si>
  <si>
    <t>Remark</t>
  </si>
  <si>
    <t xml:space="preserve">Unit </t>
  </si>
  <si>
    <t>Cut in 2 lots</t>
  </si>
  <si>
    <t>2500 pcs/day</t>
  </si>
  <si>
    <t>Gusset adds time</t>
  </si>
  <si>
    <t>High volume - split lots</t>
  </si>
  <si>
    <t>Air shipment</t>
  </si>
  <si>
    <t>Role Acess - Procurement Dept (Manager) - Approved by Dinesh Sir</t>
  </si>
  <si>
    <t>Vendor Quotation &amp; Fabric Procurement Approval</t>
  </si>
  <si>
    <t>Quotation No</t>
  </si>
  <si>
    <t>Item</t>
  </si>
  <si>
    <t>Rate Quoted</t>
  </si>
  <si>
    <t>Qty</t>
  </si>
  <si>
    <t>Amount</t>
  </si>
  <si>
    <t>Authorised By</t>
  </si>
  <si>
    <t>Authorisation Status</t>
  </si>
  <si>
    <t>Formula</t>
  </si>
  <si>
    <t>Rate x Qty</t>
  </si>
  <si>
    <t>Pending/Approved/Rejected</t>
  </si>
  <si>
    <t>QT-001</t>
  </si>
  <si>
    <t>Lowest of 3 quotes</t>
  </si>
  <si>
    <t>QT-002</t>
  </si>
  <si>
    <t>Rate higher</t>
  </si>
  <si>
    <t>QT-003</t>
  </si>
  <si>
    <t>Cotton handles</t>
  </si>
  <si>
    <t>QT-004</t>
  </si>
  <si>
    <t>For B9646IS</t>
  </si>
  <si>
    <t>QT-005</t>
  </si>
  <si>
    <t>Zippers - awaiting sample</t>
  </si>
  <si>
    <t>QT-006</t>
  </si>
  <si>
    <t>Recycled cotton</t>
  </si>
  <si>
    <t>QT-007</t>
  </si>
  <si>
    <t>Woven labels</t>
  </si>
  <si>
    <t>Role Acess - Procurement Dept (Manager)</t>
  </si>
  <si>
    <t>PO Format</t>
  </si>
  <si>
    <t>Vendor initial + no</t>
  </si>
  <si>
    <t>PO ID</t>
  </si>
  <si>
    <t>sub - category</t>
  </si>
  <si>
    <t>Accessories item</t>
  </si>
  <si>
    <t>Excess Allowed</t>
  </si>
  <si>
    <t>Vender Name</t>
  </si>
  <si>
    <t xml:space="preserve">Rate </t>
  </si>
  <si>
    <t>HSN Code</t>
  </si>
  <si>
    <t>Content</t>
  </si>
  <si>
    <t>Color code</t>
  </si>
  <si>
    <t>it will appear only if they selectthey will select accessory</t>
  </si>
  <si>
    <t>2-3%</t>
  </si>
  <si>
    <t>RF-001</t>
  </si>
  <si>
    <t>RIICO Area, Jaipur</t>
  </si>
  <si>
    <t>52081290</t>
  </si>
  <si>
    <t>Order as per Style - B9641IS</t>
  </si>
  <si>
    <t>RF-002</t>
  </si>
  <si>
    <t>Bulk Order - B9646IS</t>
  </si>
  <si>
    <t>MA-001</t>
  </si>
  <si>
    <t>Johri Bazar, Jaipur</t>
  </si>
  <si>
    <t>63079090</t>
  </si>
  <si>
    <t>1% excess allowed</t>
  </si>
  <si>
    <t>RF-003</t>
  </si>
  <si>
    <t>For B9658IS purses</t>
  </si>
  <si>
    <t>MA-002</t>
  </si>
  <si>
    <t>58071010</t>
  </si>
  <si>
    <t>Buyer branded</t>
  </si>
  <si>
    <t>RF-004</t>
  </si>
  <si>
    <t>Bulk Order - B9663IS</t>
  </si>
  <si>
    <t>MA-003</t>
  </si>
  <si>
    <t>96071110</t>
  </si>
  <si>
    <t>Awaiting quote approval</t>
  </si>
  <si>
    <t>Role Acess - Procurement Dept (Checker)</t>
  </si>
  <si>
    <t>Gate Pass (Inward / Outward)</t>
  </si>
  <si>
    <t>Gate Pass No</t>
  </si>
  <si>
    <t>Type</t>
  </si>
  <si>
    <t>Linked PO / Challan No</t>
  </si>
  <si>
    <t>Vendor / Unit Name</t>
  </si>
  <si>
    <t>Received Qty</t>
  </si>
  <si>
    <t>Variation %</t>
  </si>
  <si>
    <t>Inward/Outward</t>
  </si>
  <si>
    <t>By name</t>
  </si>
  <si>
    <t>Pending/Cleared</t>
  </si>
  <si>
    <t>GP-001</t>
  </si>
  <si>
    <t>Against PO RF-001</t>
  </si>
  <si>
    <t>GP-002</t>
  </si>
  <si>
    <t>DY-001</t>
  </si>
  <si>
    <t>Sent for dyeing</t>
  </si>
  <si>
    <t>GP-003</t>
  </si>
  <si>
    <t>Dyed Fabric</t>
  </si>
  <si>
    <t>2.5% shrinkage</t>
  </si>
  <si>
    <t>GP-004</t>
  </si>
  <si>
    <t>PR-001</t>
  </si>
  <si>
    <t>Cut Panels</t>
  </si>
  <si>
    <t>GP-005</t>
  </si>
  <si>
    <t>CH-001</t>
  </si>
  <si>
    <t>Cutting Pieces</t>
  </si>
  <si>
    <t>Unit 1 allotment</t>
  </si>
  <si>
    <t>GP-006</t>
  </si>
  <si>
    <t>40 pcs held for alteration</t>
  </si>
  <si>
    <t>GP-007</t>
  </si>
  <si>
    <t>Awaiting QC count</t>
  </si>
  <si>
    <t>GRNFormat</t>
  </si>
  <si>
    <t>Bill No</t>
  </si>
  <si>
    <t>purpose</t>
  </si>
  <si>
    <t>Vender</t>
  </si>
  <si>
    <t>Receiving Qty</t>
  </si>
  <si>
    <t>Inventory Rate</t>
  </si>
  <si>
    <t>BL-1201</t>
  </si>
  <si>
    <t>Full qty received</t>
  </si>
  <si>
    <t>BL-1215</t>
  </si>
  <si>
    <t>20 mtrs short</t>
  </si>
  <si>
    <t>MA-0450</t>
  </si>
  <si>
    <t>Cotton Handle - 1% excess received</t>
  </si>
  <si>
    <t>BL-1233</t>
  </si>
  <si>
    <t>MA-0461</t>
  </si>
  <si>
    <t>Woven Label - buyer branded</t>
  </si>
  <si>
    <t>BL-1247</t>
  </si>
  <si>
    <t>Partial - balance in transit</t>
  </si>
  <si>
    <t>MA-0470</t>
  </si>
  <si>
    <t>Role Acess - Cutting Dept (Supervisor)</t>
  </si>
  <si>
    <t>Fabric Issue for Cutting Format</t>
  </si>
  <si>
    <t>Fabric No</t>
  </si>
  <si>
    <t xml:space="preserve">Name </t>
  </si>
  <si>
    <t>Fabric Qty  Issued</t>
  </si>
  <si>
    <t>Fabric name</t>
  </si>
  <si>
    <t>eg- 10 oz</t>
  </si>
  <si>
    <t>FAB-001</t>
  </si>
  <si>
    <t>10 oz 10x6</t>
  </si>
  <si>
    <t>Sent to Shilpa Tex</t>
  </si>
  <si>
    <t>FAB-002</t>
  </si>
  <si>
    <t>Post dyeing</t>
  </si>
  <si>
    <t>FAB-003</t>
  </si>
  <si>
    <t>12 oz 12x12</t>
  </si>
  <si>
    <t>Panel print</t>
  </si>
  <si>
    <t>FAB-004</t>
  </si>
  <si>
    <t>FAB-005</t>
  </si>
  <si>
    <t>Gusset panels</t>
  </si>
  <si>
    <t>FAB-006</t>
  </si>
  <si>
    <t>FAB-007</t>
  </si>
  <si>
    <t>Jute Canvas</t>
  </si>
  <si>
    <t>FAB-008</t>
  </si>
  <si>
    <t>FAB-009</t>
  </si>
  <si>
    <t>Shade issue reported</t>
  </si>
  <si>
    <t>FAB-010</t>
  </si>
  <si>
    <t>Dye Format</t>
  </si>
  <si>
    <t>Colour Code</t>
  </si>
  <si>
    <t xml:space="preserve">Width </t>
  </si>
  <si>
    <t>Pin Code</t>
  </si>
  <si>
    <t>Rate</t>
  </si>
  <si>
    <t>Auto-Dropdown</t>
  </si>
  <si>
    <t>Number</t>
  </si>
  <si>
    <t>Bagru, Jaipur</t>
  </si>
  <si>
    <t>PO DY-001</t>
  </si>
  <si>
    <t>PO DY-002</t>
  </si>
  <si>
    <t>PO DY-003</t>
  </si>
  <si>
    <t>PO DY-004</t>
  </si>
  <si>
    <t>PO DY-005</t>
  </si>
  <si>
    <t>Role Acess - QC Dept - Decision by Dinesh Sir</t>
  </si>
  <si>
    <t>Fabric Scrutiny Report</t>
  </si>
  <si>
    <t>Defect Type</t>
  </si>
  <si>
    <t>Qty Affected</t>
  </si>
  <si>
    <t>Checked By</t>
  </si>
  <si>
    <t>Dyeing Defect/Weaving Defect</t>
  </si>
  <si>
    <t>Master - Employee</t>
  </si>
  <si>
    <t>Accept/Reject/Rework</t>
  </si>
  <si>
    <t>Re-dye at vendor cost</t>
  </si>
  <si>
    <t>Debit note to vendor</t>
  </si>
  <si>
    <t>Shade card mismatch</t>
  </si>
  <si>
    <t>Loom damage</t>
  </si>
  <si>
    <t>Washable - accepted</t>
  </si>
  <si>
    <t>Panel re-cut possible</t>
  </si>
  <si>
    <t>Within buyer tolerance</t>
  </si>
  <si>
    <t>Role Acess - Printing Dept (Manager)</t>
  </si>
  <si>
    <t>Printing  Format</t>
  </si>
  <si>
    <t>Style No.</t>
  </si>
  <si>
    <t>Vendor</t>
  </si>
  <si>
    <t>Fabric Stage</t>
  </si>
  <si>
    <t>Panel print - 2 colour</t>
  </si>
  <si>
    <t>Second lot</t>
  </si>
  <si>
    <t>Logo print on finished bag</t>
  </si>
  <si>
    <t>Buyer logo</t>
  </si>
  <si>
    <t>Small flap print</t>
  </si>
  <si>
    <t>Role Acess - Planning Dept - Approved by Vinay ji (GM) / Dinesh Sir</t>
  </si>
  <si>
    <t>Cutting / Stitching / Shipping Plan Approval Log</t>
  </si>
  <si>
    <t>Prepared By</t>
  </si>
  <si>
    <t>Submitted To</t>
  </si>
  <si>
    <t>Approval Status</t>
  </si>
  <si>
    <t>Rejection Reason</t>
  </si>
  <si>
    <t>Rectification Remarks</t>
  </si>
  <si>
    <t>Approved Date</t>
  </si>
  <si>
    <t>Unit 3 overloaded</t>
  </si>
  <si>
    <t>Shift 1500 pcs to Unit 4</t>
  </si>
  <si>
    <t>Revised plan v2</t>
  </si>
  <si>
    <t>Shipping date too tight</t>
  </si>
  <si>
    <t>Extend cutting by 3 days</t>
  </si>
  <si>
    <t>Awaiting fabric scrutiny</t>
  </si>
  <si>
    <t>Role Acess - Cutting Dept (Tailor/Supervisor)</t>
  </si>
  <si>
    <t>Cutting Format</t>
  </si>
  <si>
    <t>Challan No</t>
  </si>
  <si>
    <t>Planned Cutting</t>
  </si>
  <si>
    <t>Firm Name</t>
  </si>
  <si>
    <t>Cutting Pcs Issued</t>
  </si>
  <si>
    <t>Handle issued</t>
  </si>
  <si>
    <t>From Planning (via Order No)</t>
  </si>
  <si>
    <t>Lot 1</t>
  </si>
  <si>
    <t>CH-002</t>
  </si>
  <si>
    <t>Lot 2</t>
  </si>
  <si>
    <t>CH-003</t>
  </si>
  <si>
    <t>CH-004</t>
  </si>
  <si>
    <t>CH-005</t>
  </si>
  <si>
    <t>Gusset panels separate</t>
  </si>
  <si>
    <t>CH-006</t>
  </si>
  <si>
    <t>Lot 1 of 2</t>
  </si>
  <si>
    <t>CH-007</t>
  </si>
  <si>
    <t>Printed panels</t>
  </si>
  <si>
    <t>Role Acess - Stitching Dept (Supervisor)</t>
  </si>
  <si>
    <t>Stiching Record Format</t>
  </si>
  <si>
    <t>Unit Name</t>
  </si>
  <si>
    <t>Actual</t>
  </si>
  <si>
    <t>Remaining</t>
  </si>
  <si>
    <t>120 pcs to alteration</t>
  </si>
  <si>
    <t>Handle attach delay</t>
  </si>
  <si>
    <t>Gusset slows line</t>
  </si>
  <si>
    <t>Purse - high output</t>
  </si>
  <si>
    <t>Printed panel alignment</t>
  </si>
  <si>
    <t>Stitching Hourly Format</t>
  </si>
  <si>
    <t>order No</t>
  </si>
  <si>
    <t>Emp Id</t>
  </si>
  <si>
    <t>5;30</t>
  </si>
  <si>
    <t>Auto Capture</t>
  </si>
  <si>
    <t>Role Acess - QC Dept (Checker)</t>
  </si>
  <si>
    <t>Daily QC Record (Tailor Size)</t>
  </si>
  <si>
    <t>Unit</t>
  </si>
  <si>
    <t>Tailor Name</t>
  </si>
  <si>
    <t>Size</t>
  </si>
  <si>
    <t>Psc Checked/Reject</t>
  </si>
  <si>
    <t>Defects found</t>
  </si>
  <si>
    <t>Inform To</t>
  </si>
  <si>
    <t>Daily QC Record (Tailor Defects)</t>
  </si>
  <si>
    <t>Style</t>
  </si>
  <si>
    <t>Pcs Checked/Reject</t>
  </si>
  <si>
    <t>Defects Found</t>
  </si>
  <si>
    <t>Checker Code</t>
  </si>
  <si>
    <t>Total Pcs Checked</t>
  </si>
  <si>
    <t>Total Defect Pcs</t>
  </si>
  <si>
    <t>Transferred Back To Unit</t>
  </si>
  <si>
    <t>if Rejected</t>
  </si>
  <si>
    <t>Re-trim and resubmit</t>
  </si>
  <si>
    <t>Hem re-stitch</t>
  </si>
  <si>
    <t>Labels attached at finishing</t>
  </si>
  <si>
    <t>Gusset seam open</t>
  </si>
  <si>
    <t>Spot cleaned</t>
  </si>
  <si>
    <t xml:space="preserve">Internal Record </t>
  </si>
  <si>
    <t>Name</t>
  </si>
  <si>
    <t>Total Defect</t>
  </si>
  <si>
    <t>Checker code range:</t>
  </si>
  <si>
    <t>1-25</t>
  </si>
  <si>
    <t xml:space="preserve">Date </t>
  </si>
  <si>
    <t>Checked Psc</t>
  </si>
  <si>
    <t>Handle out</t>
  </si>
  <si>
    <t>Handle size</t>
  </si>
  <si>
    <t>Handle Alter</t>
  </si>
  <si>
    <t>Slanted Lable</t>
  </si>
  <si>
    <t>Wrong side lupi</t>
  </si>
  <si>
    <t>Weaving defect</t>
  </si>
  <si>
    <t>Cut/hole</t>
  </si>
  <si>
    <t>without stich</t>
  </si>
  <si>
    <t xml:space="preserve">Torn </t>
  </si>
  <si>
    <t>Strain</t>
  </si>
  <si>
    <t>Alter</t>
  </si>
  <si>
    <t>Total pieces passed</t>
  </si>
  <si>
    <t>Projected</t>
  </si>
  <si>
    <t>Defects %</t>
  </si>
  <si>
    <t>master of defects (manul entry in int )</t>
  </si>
  <si>
    <t>Role Acess - QC Dept (External Agency)</t>
  </si>
  <si>
    <t>EXTERNAL SECONDARY CHECKING - INSPECTION REPORT</t>
  </si>
  <si>
    <t>Particulars</t>
  </si>
  <si>
    <t>Critical</t>
  </si>
  <si>
    <t>Major</t>
  </si>
  <si>
    <t>Minor</t>
  </si>
  <si>
    <t>Total</t>
  </si>
  <si>
    <t>Master - InspDefect26</t>
  </si>
  <si>
    <t>Critical + Major + Minor</t>
  </si>
  <si>
    <t>Total Inspection Qty</t>
  </si>
  <si>
    <t>Total Critical Problems</t>
  </si>
  <si>
    <t>Total Major Problems</t>
  </si>
  <si>
    <t>Total Minor Problems</t>
  </si>
  <si>
    <t>Total Pass Quantity</t>
  </si>
  <si>
    <t>Total Defect Ratio</t>
  </si>
  <si>
    <t xml:space="preserve">Alter Record </t>
  </si>
  <si>
    <t>Time</t>
  </si>
  <si>
    <t>Output</t>
  </si>
  <si>
    <t>Pass/ok</t>
  </si>
  <si>
    <t>Alter piece</t>
  </si>
  <si>
    <t>Alter%</t>
  </si>
  <si>
    <t>trigger on submit button</t>
  </si>
  <si>
    <t>count of pieces passed after alteration</t>
  </si>
  <si>
    <t>Handle re-attach</t>
  </si>
  <si>
    <t>Thread trimming</t>
  </si>
  <si>
    <t>Label position off</t>
  </si>
  <si>
    <t>Gusset seam closed</t>
  </si>
  <si>
    <t>Stain removal</t>
  </si>
  <si>
    <t>Print misalignment - moved to scrap</t>
  </si>
  <si>
    <t>Role Acess - QC / Packing Dept</t>
  </si>
  <si>
    <t>Spot Rectification &amp; Scrap / Online Sale</t>
  </si>
  <si>
    <t>Qty Received for Rectification</t>
  </si>
  <si>
    <t>Sold Online-Domestic Qty</t>
  </si>
  <si>
    <t>Scrap Qty</t>
  </si>
  <si>
    <t>Scrap % of Consignment</t>
  </si>
  <si>
    <t>Scrap Qty / Order Qty from the Order sheet (2-3% norm)</t>
  </si>
  <si>
    <t>18 reissued to stitching</t>
  </si>
  <si>
    <t>25 reissued</t>
  </si>
  <si>
    <t>Gusset defects</t>
  </si>
  <si>
    <t>28 reissued</t>
  </si>
  <si>
    <t>Print defects - scrap</t>
  </si>
  <si>
    <t>Rejected Record Format</t>
  </si>
  <si>
    <t>Order  No</t>
  </si>
  <si>
    <t>Cutting Qty</t>
  </si>
  <si>
    <t>Packed Qty</t>
  </si>
  <si>
    <t>Rejected Qty</t>
  </si>
  <si>
    <t>Check By</t>
  </si>
  <si>
    <t>Reason of Defects</t>
  </si>
  <si>
    <t>From Order</t>
  </si>
  <si>
    <t>From Cutting Issue</t>
  </si>
  <si>
    <t>Cutting Qty - Packed Qty</t>
  </si>
  <si>
    <t>Master - RejectReason</t>
  </si>
  <si>
    <t>Handle stitching out of line</t>
  </si>
  <si>
    <t>Weaving fault in body panel</t>
  </si>
  <si>
    <t>Shade variation after dyeing</t>
  </si>
  <si>
    <t>Oil stain near base</t>
  </si>
  <si>
    <t>Handle placement off</t>
  </si>
  <si>
    <t>Lot not yet cut</t>
  </si>
  <si>
    <t>Role Acess - Packing Dept (Operator)</t>
  </si>
  <si>
    <t>PACKING LIST</t>
  </si>
  <si>
    <t>PACKING DETAILS</t>
  </si>
  <si>
    <t>Box No</t>
  </si>
  <si>
    <t>Color</t>
  </si>
  <si>
    <t>Boxes</t>
  </si>
  <si>
    <t>Qty (In pcs)</t>
  </si>
  <si>
    <t>N.W per Box</t>
  </si>
  <si>
    <t>G.W per Box</t>
  </si>
  <si>
    <t>N.W (kg)</t>
  </si>
  <si>
    <t>G.W (kg)</t>
  </si>
  <si>
    <t>Dim (in cms)</t>
  </si>
  <si>
    <t>CBM</t>
  </si>
  <si>
    <t>L</t>
  </si>
  <si>
    <t>W</t>
  </si>
  <si>
    <t>H</t>
  </si>
  <si>
    <t>From Style Master</t>
  </si>
  <si>
    <t>Packing x Boxes</t>
  </si>
  <si>
    <t>N.W/Box x Boxes</t>
  </si>
  <si>
    <t>G.W/Box x Boxes</t>
  </si>
  <si>
    <t>L x W x H / 1000000 x Boxes</t>
  </si>
  <si>
    <t>01 TO 100</t>
  </si>
  <si>
    <t>B9642IS</t>
  </si>
  <si>
    <t>TR-0105-008</t>
  </si>
  <si>
    <t>Canvas Tote (M)</t>
  </si>
  <si>
    <t>NATURAL</t>
  </si>
  <si>
    <t>101 TO 800</t>
  </si>
  <si>
    <t>B9643IS</t>
  </si>
  <si>
    <t>Canvas Daily Tote (M)</t>
  </si>
  <si>
    <t>801 TO 840</t>
  </si>
  <si>
    <t>B9644IS</t>
  </si>
  <si>
    <t>TR-1111-008</t>
  </si>
  <si>
    <t>Canvas Tool Tote</t>
  </si>
  <si>
    <t>841 TO 891</t>
  </si>
  <si>
    <t>B9645IS</t>
  </si>
  <si>
    <t>TR-1082-038</t>
  </si>
  <si>
    <t>Canvas Front Pocket Sacoche</t>
  </si>
  <si>
    <t>Smoke Blue</t>
  </si>
  <si>
    <t>SIZE ASSORTMENT CARTON</t>
  </si>
  <si>
    <t>Carton</t>
  </si>
  <si>
    <t>Carton Qty.</t>
  </si>
  <si>
    <t>Size 1</t>
  </si>
  <si>
    <t>Size 2</t>
  </si>
  <si>
    <t>Size 3</t>
  </si>
  <si>
    <t>Size 4</t>
  </si>
  <si>
    <t>Size 5</t>
  </si>
  <si>
    <t>Size 6</t>
  </si>
  <si>
    <t>Size 7</t>
  </si>
  <si>
    <t>Size 8</t>
  </si>
  <si>
    <t>Size 9</t>
  </si>
  <si>
    <t>Size 10</t>
  </si>
  <si>
    <t>Weight</t>
  </si>
  <si>
    <t>Pcs/Carton</t>
  </si>
  <si>
    <t>Sign.</t>
  </si>
  <si>
    <t>Sum of size columns</t>
  </si>
  <si>
    <t>Role Acess - Dispatch Dept (Manager)</t>
  </si>
  <si>
    <t>Dispatch / Shipment Record</t>
  </si>
  <si>
    <t>Invoice No</t>
  </si>
  <si>
    <t>Total Boxes</t>
  </si>
  <si>
    <t>Total Qty</t>
  </si>
  <si>
    <t>Carrier / AWB-BL No</t>
  </si>
  <si>
    <t>ETA</t>
  </si>
  <si>
    <t>From Order (via Order No)</t>
  </si>
  <si>
    <t>from Packing</t>
  </si>
  <si>
    <t>Pending/Dispatched/Delivered</t>
  </si>
  <si>
    <t>INV-2026-101</t>
  </si>
  <si>
    <t>MAEU-4471203</t>
  </si>
  <si>
    <t>Full container</t>
  </si>
  <si>
    <t>INV-2026-102</t>
  </si>
  <si>
    <t>MAEU-4471288</t>
  </si>
  <si>
    <t>INV-2026-103</t>
  </si>
  <si>
    <t>MSCU-8823401</t>
  </si>
  <si>
    <t>Part shipment</t>
  </si>
  <si>
    <t>INV-2026-104</t>
  </si>
  <si>
    <t>HLCU-3390122</t>
  </si>
  <si>
    <t>Awaiting balance qty</t>
  </si>
  <si>
    <t>INV-2026-105</t>
  </si>
  <si>
    <t>AWB-176-88420</t>
  </si>
  <si>
    <t>Air - urgent</t>
  </si>
  <si>
    <t>Role Acess - Planning Dept (GM)</t>
  </si>
  <si>
    <t>Cutting - Stitching - Packing Reconciliation</t>
  </si>
  <si>
    <t>Stitched Pcs Received</t>
  </si>
  <si>
    <t>Alter Pcs</t>
  </si>
  <si>
    <t>Scrap Pcs</t>
  </si>
  <si>
    <t>Rejected Pcs</t>
  </si>
  <si>
    <t>Packed Pcs</t>
  </si>
  <si>
    <t>Variance</t>
  </si>
  <si>
    <t>from Cutting Issue</t>
  </si>
  <si>
    <t>from Stiching Record</t>
  </si>
  <si>
    <t>from Alter Report</t>
  </si>
  <si>
    <t>from Spot Rectification-Scrap</t>
  </si>
  <si>
    <t>from Rejected</t>
  </si>
  <si>
    <t>Cutting Issued - Stitched - Scrap - Rejected  (balance = WIP)</t>
  </si>
  <si>
    <t>Matched/Variance Found</t>
  </si>
  <si>
    <t>54 pcs WIP at Unit 1</t>
  </si>
  <si>
    <t>81 pcs WIP at Unit 2</t>
  </si>
  <si>
    <t>Lot 2 of 4000 not yet cut; 48 pcs WIP</t>
  </si>
  <si>
    <t>Lot 1 of 10000; 80 pcs WIP</t>
  </si>
  <si>
    <t>39 pcs WIP - printed panels</t>
  </si>
  <si>
    <t>Not started</t>
  </si>
  <si>
    <t>Come from buyer initial letters</t>
  </si>
  <si>
    <t>Dyeing/Printing/Stitching/Other</t>
  </si>
  <si>
    <t>text</t>
  </si>
  <si>
    <t>TIME AUTO CAPTURE</t>
  </si>
  <si>
    <t xml:space="preserve">Style No </t>
  </si>
  <si>
    <t>OrderNo</t>
  </si>
  <si>
    <t>Order size</t>
  </si>
  <si>
    <t>Role Acess - Admin</t>
  </si>
  <si>
    <t>Fabric/Accessories/Dyeing</t>
  </si>
  <si>
    <t>Internal Quality Check (Finishing &amp; Trimming) Hourly basis</t>
  </si>
  <si>
    <t>Note - Defect master attch for selecting style wise defects</t>
  </si>
  <si>
    <t>Shekwati Impex</t>
  </si>
  <si>
    <t>Cutting/Stiching/Packing/Shipping Planning Format</t>
  </si>
  <si>
    <t>Planning Department</t>
  </si>
  <si>
    <t>Auto- dropdown</t>
  </si>
  <si>
    <t xml:space="preserve">Status </t>
  </si>
  <si>
    <t>Cutting Pcs alloted</t>
  </si>
  <si>
    <t>Unit wise Cutting Pcs to be issued</t>
  </si>
  <si>
    <t>SEKHAWATI IMPEX</t>
  </si>
  <si>
    <t>Roll No</t>
  </si>
  <si>
    <t xml:space="preserve">Vendor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</si>
</sst>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d\-mmm"/>
    <numFmt numFmtId="166" formatCode="h:mm"/>
    <numFmt numFmtId="167" formatCode="mmm\-yy"/>
    <numFmt numFmtId="168" formatCode="0.0%"/>
  </numFmts>
  <fonts count="47" x14ac:knownFonts="1">
    <font>
      <sz val="11"/>
      <color theme="1"/>
      <name val="Aptos Narrow"/>
      <family val="2"/>
      <charset val="1"/>
    </font>
    <font>
      <b/>
      <sz val="16"/>
      <name val="Aptos Narrow"/>
      <charset val="1"/>
    </font>
    <font>
      <b/>
      <sz val="12"/>
      <name val="Aptos Narrow"/>
      <charset val="1"/>
    </font>
    <font>
      <sz val="11"/>
      <name val="Aptos Narrow"/>
      <charset val="1"/>
    </font>
    <font>
      <b/>
      <sz val="11"/>
      <name val="Aptos Narrow"/>
      <charset val="1"/>
    </font>
    <font>
      <sz val="11"/>
      <color rgb="FFC00000"/>
      <name val="Aptos Narrow"/>
      <charset val="1"/>
    </font>
    <font>
      <sz val="11"/>
      <color rgb="FF000000"/>
      <name val="Aptos Narrow"/>
      <charset val="1"/>
    </font>
    <font>
      <b/>
      <sz val="16"/>
      <color rgb="FF000000"/>
      <name val="Aptos Narrow"/>
      <charset val="1"/>
    </font>
    <font>
      <b/>
      <sz val="12"/>
      <color rgb="FF000000"/>
      <name val="Aptos Narrow"/>
      <charset val="1"/>
    </font>
    <font>
      <sz val="11"/>
      <color rgb="FF0070C0"/>
      <name val="Aptos Narrow"/>
      <charset val="1"/>
    </font>
    <font>
      <b/>
      <sz val="14"/>
      <color theme="1"/>
      <name val="Aptos Narrow"/>
      <family val="2"/>
      <charset val="1"/>
    </font>
    <font>
      <sz val="11"/>
      <color rgb="FF196B24"/>
      <name val="Aptos Narrow"/>
      <charset val="1"/>
    </font>
    <font>
      <sz val="11"/>
      <color rgb="FF78206E"/>
      <name val="Aptos Narrow"/>
      <charset val="1"/>
    </font>
    <font>
      <sz val="11"/>
      <name val="Cambria"/>
      <charset val="1"/>
    </font>
    <font>
      <b/>
      <sz val="10"/>
      <color theme="1"/>
      <name val="Aptos Narrow"/>
      <family val="2"/>
      <charset val="1"/>
    </font>
    <font>
      <b/>
      <sz val="16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0"/>
      <name val="Aptos Narrow"/>
      <charset val="1"/>
    </font>
    <font>
      <b/>
      <sz val="10"/>
      <name val="Aptos Narrow"/>
      <charset val="1"/>
    </font>
    <font>
      <sz val="10"/>
      <color rgb="FF0070C0"/>
      <name val="Aptos Narrow"/>
      <charset val="1"/>
    </font>
    <font>
      <sz val="10"/>
      <color rgb="FF196B24"/>
      <name val="Aptos Narrow"/>
      <charset val="1"/>
    </font>
    <font>
      <sz val="10"/>
      <color rgb="FFC00000"/>
      <name val="Aptos Narrow"/>
      <charset val="1"/>
    </font>
    <font>
      <b/>
      <sz val="12"/>
      <name val="Aptos Narrow"/>
      <family val="2"/>
    </font>
    <font>
      <sz val="11"/>
      <color rgb="FFFF0000"/>
      <name val="Aptos Narrow"/>
      <family val="2"/>
    </font>
    <font>
      <sz val="11"/>
      <color theme="4"/>
      <name val="Aptos Narrow"/>
      <family val="2"/>
    </font>
    <font>
      <sz val="11"/>
      <color theme="9" tint="-0.249977111117893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Aptos Narrow"/>
      <family val="2"/>
    </font>
    <font>
      <sz val="11"/>
      <color theme="9" tint="-0.499984740745262"/>
      <name val="Aptos Narrow"/>
      <family val="2"/>
    </font>
    <font>
      <b/>
      <sz val="12"/>
      <color theme="8" tint="-0.249977111117893"/>
      <name val="Aptos Narrow"/>
      <family val="2"/>
    </font>
    <font>
      <sz val="11"/>
      <color theme="5" tint="-0.249977111117893"/>
      <name val="Aptos Narrow"/>
      <family val="2"/>
    </font>
    <font>
      <sz val="11"/>
      <color theme="9" tint="-0.249977111117893"/>
      <name val="Aptos Narrow"/>
      <family val="2"/>
      <charset val="1"/>
    </font>
    <font>
      <sz val="11"/>
      <color rgb="FFC00000"/>
      <name val="Aptos Narrow"/>
      <family val="2"/>
      <charset val="1"/>
    </font>
    <font>
      <sz val="11"/>
      <name val="Aptos Narrow"/>
      <family val="2"/>
    </font>
    <font>
      <sz val="11"/>
      <color theme="8" tint="-0.499984740745262"/>
      <name val="Aptos Narrow"/>
      <family val="2"/>
    </font>
    <font>
      <b/>
      <sz val="11"/>
      <color theme="8" tint="-0.499984740745262"/>
      <name val="Aptos Narrow"/>
      <family val="2"/>
    </font>
    <font>
      <sz val="11"/>
      <color theme="4"/>
      <name val="Aptos Narrow"/>
      <family val="2"/>
      <charset val="1"/>
    </font>
    <font>
      <sz val="11"/>
      <color theme="9" tint="-0.499984740745262"/>
      <name val="Aptos Narrow"/>
      <family val="2"/>
      <charset val="1"/>
    </font>
    <font>
      <sz val="11"/>
      <color rgb="FFC00000"/>
      <name val="Aptos Narrow"/>
      <family val="2"/>
    </font>
    <font>
      <b/>
      <sz val="11"/>
      <name val="Aptos Narrow"/>
      <family val="2"/>
    </font>
    <font>
      <sz val="11"/>
      <color rgb="FF196B24"/>
      <name val="Aptos Narrow"/>
      <family val="2"/>
    </font>
    <font>
      <b/>
      <sz val="10"/>
      <name val="Aptos Narrow"/>
      <family val="2"/>
    </font>
    <font>
      <b/>
      <sz val="11"/>
      <color theme="1"/>
      <name val="Aptos Narrow"/>
      <family val="2"/>
    </font>
    <font>
      <sz val="10"/>
      <color theme="9" tint="-0.499984740745262"/>
      <name val="Aptos Narrow"/>
      <family val="2"/>
    </font>
    <font>
      <sz val="11"/>
      <color theme="6"/>
      <name val="Aptos Narrow"/>
      <family val="2"/>
    </font>
    <font>
      <b/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/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3" fillId="0" borderId="0" xfId="0" applyFont="1"/>
    <xf numFmtId="0" fontId="9" fillId="0" borderId="1" xfId="0" applyFont="1" applyBorder="1"/>
    <xf numFmtId="0" fontId="5" fillId="0" borderId="1" xfId="0" applyFont="1" applyBorder="1"/>
    <xf numFmtId="0" fontId="10" fillId="0" borderId="0" xfId="0" applyFont="1" applyAlignment="1">
      <alignment horizontal="center"/>
    </xf>
    <xf numFmtId="165" fontId="8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1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/>
    <xf numFmtId="0" fontId="9" fillId="0" borderId="0" xfId="0" applyFont="1"/>
    <xf numFmtId="0" fontId="16" fillId="0" borderId="0" xfId="0" applyFont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0" xfId="0" applyFont="1"/>
    <xf numFmtId="0" fontId="5" fillId="0" borderId="0" xfId="0" applyFont="1"/>
    <xf numFmtId="2" fontId="0" fillId="0" borderId="0" xfId="0" applyNumberFormat="1"/>
    <xf numFmtId="2" fontId="8" fillId="2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17" fillId="0" borderId="0" xfId="0" applyFont="1"/>
    <xf numFmtId="0" fontId="18" fillId="2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7" fillId="0" borderId="1" xfId="0" applyFont="1" applyBorder="1"/>
    <xf numFmtId="0" fontId="17" fillId="0" borderId="1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4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0" fontId="22" fillId="2" borderId="1" xfId="0" applyFont="1" applyFill="1" applyBorder="1" applyAlignment="1">
      <alignment horizontal="center" vertical="center" wrapText="1"/>
    </xf>
    <xf numFmtId="0" fontId="23" fillId="0" borderId="0" xfId="0" applyFont="1"/>
    <xf numFmtId="0" fontId="24" fillId="0" borderId="1" xfId="0" applyFont="1" applyBorder="1"/>
    <xf numFmtId="0" fontId="26" fillId="0" borderId="1" xfId="0" applyFont="1" applyBorder="1"/>
    <xf numFmtId="0" fontId="27" fillId="0" borderId="0" xfId="0" applyFont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1" xfId="0" applyFont="1" applyBorder="1"/>
    <xf numFmtId="0" fontId="25" fillId="0" borderId="1" xfId="0" applyFont="1" applyBorder="1"/>
    <xf numFmtId="0" fontId="33" fillId="0" borderId="1" xfId="0" applyFont="1" applyBorder="1"/>
    <xf numFmtId="0" fontId="35" fillId="0" borderId="0" xfId="0" applyFont="1" applyAlignment="1">
      <alignment horizontal="center" vertical="center" wrapText="1"/>
    </xf>
    <xf numFmtId="0" fontId="37" fillId="0" borderId="6" xfId="0" applyFont="1" applyBorder="1"/>
    <xf numFmtId="0" fontId="37" fillId="0" borderId="1" xfId="0" applyFont="1" applyBorder="1"/>
    <xf numFmtId="0" fontId="33" fillId="0" borderId="0" xfId="0" applyFont="1"/>
    <xf numFmtId="0" fontId="38" fillId="0" borderId="0" xfId="0" applyFont="1"/>
    <xf numFmtId="0" fontId="38" fillId="0" borderId="1" xfId="0" applyFont="1" applyBorder="1"/>
    <xf numFmtId="2" fontId="38" fillId="0" borderId="1" xfId="0" applyNumberFormat="1" applyFont="1" applyBorder="1"/>
    <xf numFmtId="0" fontId="40" fillId="2" borderId="1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0" fillId="3" borderId="1" xfId="0" applyFill="1" applyBorder="1"/>
    <xf numFmtId="0" fontId="17" fillId="0" borderId="7" xfId="0" applyFont="1" applyBorder="1"/>
    <xf numFmtId="0" fontId="38" fillId="0" borderId="1" xfId="0" applyFont="1" applyBorder="1" applyAlignment="1">
      <alignment horizontal="center"/>
    </xf>
    <xf numFmtId="0" fontId="44" fillId="0" borderId="0" xfId="0" applyFont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7" xfId="0" applyFont="1" applyBorder="1"/>
    <xf numFmtId="0" fontId="43" fillId="3" borderId="1" xfId="0" applyFont="1" applyFill="1" applyBorder="1"/>
    <xf numFmtId="0" fontId="24" fillId="0" borderId="1" xfId="0" applyFont="1" applyBorder="1" applyAlignment="1">
      <alignment horizontal="center" vertical="center" wrapText="1"/>
    </xf>
    <xf numFmtId="0" fontId="24" fillId="0" borderId="0" xfId="0" applyFont="1"/>
    <xf numFmtId="0" fontId="3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7" fillId="0" borderId="0" xfId="0" applyFont="1"/>
    <xf numFmtId="0" fontId="42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/>
    </xf>
    <xf numFmtId="0" fontId="45" fillId="0" borderId="1" xfId="0" applyFont="1" applyBorder="1"/>
    <xf numFmtId="0" fontId="4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6" fillId="0" borderId="0" xfId="0" applyFont="1" applyAlignment="1"/>
    <xf numFmtId="0" fontId="8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165" fontId="46" fillId="2" borderId="1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/>
    <xf numFmtId="0" fontId="3" fillId="0" borderId="0" xfId="0" applyFont="1" applyAlignment="1">
      <alignment horizontal="center" wrapText="1"/>
    </xf>
    <xf numFmtId="0" fontId="3" fillId="0" borderId="0" xfId="0" applyFont="1" applyAlignment="1"/>
    <xf numFmtId="0" fontId="6" fillId="0" borderId="0" xfId="0" applyFont="1" applyAlignment="1">
      <alignment horizontal="center" wrapText="1"/>
    </xf>
    <xf numFmtId="0" fontId="4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0C0C0"/>
      <rgbColor rgb="FF808080"/>
      <rgbColor rgb="FF9999FF"/>
      <rgbColor rgb="FF78206E"/>
      <rgbColor rgb="FFFFF2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6082"/>
  </sheetPr>
  <dimension ref="A1:AS30"/>
  <sheetViews>
    <sheetView showGridLines="0" topLeftCell="L1" zoomScaleNormal="100" workbookViewId="0">
      <pane ySplit="4" topLeftCell="A5" activePane="bottomLeft" state="frozen"/>
      <selection activeCell="L1" sqref="L1"/>
      <selection pane="bottomLeft" activeCell="Q4" sqref="Q4"/>
    </sheetView>
  </sheetViews>
  <sheetFormatPr defaultColWidth="8.5546875" defaultRowHeight="14.4" x14ac:dyDescent="0.3"/>
  <cols>
    <col min="1" max="4" width="32" customWidth="1"/>
    <col min="5" max="5" width="20" customWidth="1"/>
    <col min="6" max="6" width="16" customWidth="1"/>
    <col min="7" max="7" width="17" customWidth="1"/>
    <col min="8" max="8" width="16" customWidth="1"/>
    <col min="9" max="9" width="19" customWidth="1"/>
    <col min="10" max="15" width="16" customWidth="1"/>
    <col min="16" max="16" width="21" customWidth="1"/>
    <col min="17" max="19" width="16" customWidth="1"/>
    <col min="20" max="20" width="17" customWidth="1"/>
    <col min="21" max="21" width="18" customWidth="1"/>
    <col min="22" max="22" width="24" customWidth="1"/>
    <col min="23" max="34" width="16" customWidth="1"/>
    <col min="35" max="35" width="20" customWidth="1"/>
    <col min="36" max="36" width="18" customWidth="1"/>
    <col min="37" max="37" width="25" customWidth="1"/>
    <col min="38" max="38" width="20" customWidth="1"/>
    <col min="39" max="40" width="16" customWidth="1"/>
    <col min="41" max="41" width="18" customWidth="1"/>
    <col min="42" max="42" width="16" customWidth="1"/>
    <col min="45" max="45" width="32" customWidth="1"/>
  </cols>
  <sheetData>
    <row r="1" spans="1:45" ht="21" customHeight="1" x14ac:dyDescent="0.3">
      <c r="A1" s="4" t="s">
        <v>0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</row>
    <row r="2" spans="1:45" ht="21" customHeight="1" x14ac:dyDescent="0.3">
      <c r="A2" s="2"/>
      <c r="C2" s="118" t="s">
        <v>2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</row>
    <row r="4" spans="1:45" ht="30" customHeight="1" x14ac:dyDescent="0.3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5" t="s">
        <v>34</v>
      </c>
      <c r="AG4" s="5" t="s">
        <v>35</v>
      </c>
      <c r="AH4" s="5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5" t="s">
        <v>41</v>
      </c>
      <c r="AN4" s="5" t="s">
        <v>42</v>
      </c>
      <c r="AO4" s="5" t="s">
        <v>43</v>
      </c>
      <c r="AP4" s="5" t="s">
        <v>44</v>
      </c>
      <c r="AS4" s="6" t="s">
        <v>45</v>
      </c>
    </row>
    <row r="5" spans="1:45" ht="14.25" customHeight="1" x14ac:dyDescent="0.3">
      <c r="A5" s="7" t="s">
        <v>46</v>
      </c>
      <c r="B5" s="7" t="s">
        <v>47</v>
      </c>
      <c r="C5" s="7" t="s">
        <v>48</v>
      </c>
      <c r="D5" s="7" t="s">
        <v>49</v>
      </c>
      <c r="E5" s="7" t="s">
        <v>50</v>
      </c>
      <c r="F5" s="7" t="s">
        <v>51</v>
      </c>
      <c r="G5" s="7" t="s">
        <v>52</v>
      </c>
      <c r="H5" s="7" t="s">
        <v>53</v>
      </c>
      <c r="I5" s="7" t="s">
        <v>54</v>
      </c>
      <c r="J5" s="7" t="s">
        <v>55</v>
      </c>
      <c r="K5" s="7" t="s">
        <v>56</v>
      </c>
      <c r="L5" s="7" t="s">
        <v>57</v>
      </c>
      <c r="M5" s="7" t="s">
        <v>58</v>
      </c>
      <c r="N5" s="7" t="s">
        <v>59</v>
      </c>
      <c r="O5" s="7" t="s">
        <v>60</v>
      </c>
      <c r="P5" s="7" t="s">
        <v>61</v>
      </c>
      <c r="Q5" s="7" t="s">
        <v>62</v>
      </c>
      <c r="R5" s="7" t="s">
        <v>63</v>
      </c>
      <c r="S5" s="7" t="s">
        <v>64</v>
      </c>
      <c r="T5" s="7" t="s">
        <v>65</v>
      </c>
      <c r="U5" s="7" t="s">
        <v>66</v>
      </c>
      <c r="V5" s="7" t="s">
        <v>67</v>
      </c>
      <c r="W5" s="7" t="s">
        <v>68</v>
      </c>
      <c r="X5" s="7" t="s">
        <v>68</v>
      </c>
      <c r="Y5" s="7" t="s">
        <v>69</v>
      </c>
      <c r="Z5" s="7" t="s">
        <v>70</v>
      </c>
      <c r="AA5" s="7" t="s">
        <v>50</v>
      </c>
      <c r="AB5" s="7" t="s">
        <v>71</v>
      </c>
      <c r="AC5" s="7" t="s">
        <v>72</v>
      </c>
      <c r="AD5" s="7" t="s">
        <v>73</v>
      </c>
      <c r="AE5" s="7" t="s">
        <v>74</v>
      </c>
      <c r="AF5" s="7" t="s">
        <v>75</v>
      </c>
      <c r="AG5" s="7" t="s">
        <v>68</v>
      </c>
      <c r="AH5" s="7" t="s">
        <v>76</v>
      </c>
      <c r="AI5" s="7" t="s">
        <v>77</v>
      </c>
      <c r="AJ5" s="7" t="s">
        <v>50</v>
      </c>
      <c r="AK5" s="7" t="s">
        <v>78</v>
      </c>
      <c r="AL5" s="7" t="s">
        <v>79</v>
      </c>
      <c r="AM5" s="7" t="s">
        <v>80</v>
      </c>
      <c r="AN5" s="7" t="s">
        <v>68</v>
      </c>
      <c r="AO5" s="7" t="s">
        <v>81</v>
      </c>
      <c r="AP5" s="7" t="s">
        <v>64</v>
      </c>
      <c r="AS5" s="3" t="s">
        <v>82</v>
      </c>
    </row>
    <row r="6" spans="1:45" ht="14.25" customHeight="1" x14ac:dyDescent="0.3">
      <c r="A6" s="7" t="s">
        <v>83</v>
      </c>
      <c r="B6" s="7" t="s">
        <v>84</v>
      </c>
      <c r="C6" s="7" t="s">
        <v>85</v>
      </c>
      <c r="D6" s="7" t="s">
        <v>86</v>
      </c>
      <c r="E6" s="7" t="s">
        <v>87</v>
      </c>
      <c r="F6" s="7" t="s">
        <v>88</v>
      </c>
      <c r="G6" s="7" t="s">
        <v>89</v>
      </c>
      <c r="H6" s="7" t="s">
        <v>90</v>
      </c>
      <c r="I6" s="7" t="s">
        <v>91</v>
      </c>
      <c r="J6" s="7" t="s">
        <v>92</v>
      </c>
      <c r="K6" s="7" t="s">
        <v>93</v>
      </c>
      <c r="L6" s="7" t="s">
        <v>94</v>
      </c>
      <c r="M6" s="7" t="s">
        <v>95</v>
      </c>
      <c r="N6" s="7" t="s">
        <v>96</v>
      </c>
      <c r="O6" s="7" t="s">
        <v>97</v>
      </c>
      <c r="P6" s="7" t="s">
        <v>98</v>
      </c>
      <c r="Q6" s="7" t="s">
        <v>99</v>
      </c>
      <c r="R6" s="7" t="s">
        <v>100</v>
      </c>
      <c r="S6" s="7" t="s">
        <v>63</v>
      </c>
      <c r="T6" s="7" t="s">
        <v>63</v>
      </c>
      <c r="U6" s="7" t="s">
        <v>101</v>
      </c>
      <c r="V6" s="7" t="s">
        <v>102</v>
      </c>
      <c r="W6" s="7" t="s">
        <v>103</v>
      </c>
      <c r="X6" s="7" t="s">
        <v>70</v>
      </c>
      <c r="Y6" s="7" t="s">
        <v>104</v>
      </c>
      <c r="Z6" s="7" t="s">
        <v>105</v>
      </c>
      <c r="AA6" s="7" t="s">
        <v>87</v>
      </c>
      <c r="AB6" s="7" t="s">
        <v>106</v>
      </c>
      <c r="AC6" s="7" t="s">
        <v>107</v>
      </c>
      <c r="AD6" s="7" t="s">
        <v>108</v>
      </c>
      <c r="AE6" s="7" t="s">
        <v>109</v>
      </c>
      <c r="AF6" s="7" t="s">
        <v>110</v>
      </c>
      <c r="AG6" s="7" t="s">
        <v>111</v>
      </c>
      <c r="AH6" s="7" t="s">
        <v>112</v>
      </c>
      <c r="AI6" s="7" t="s">
        <v>113</v>
      </c>
      <c r="AJ6" s="7" t="s">
        <v>102</v>
      </c>
      <c r="AK6" s="7" t="s">
        <v>114</v>
      </c>
      <c r="AL6" s="7" t="s">
        <v>115</v>
      </c>
      <c r="AM6" s="7" t="s">
        <v>116</v>
      </c>
      <c r="AN6" s="7" t="s">
        <v>117</v>
      </c>
      <c r="AO6" s="7" t="s">
        <v>118</v>
      </c>
      <c r="AP6" s="7" t="s">
        <v>119</v>
      </c>
      <c r="AS6" s="3" t="s">
        <v>120</v>
      </c>
    </row>
    <row r="7" spans="1:45" ht="14.25" customHeight="1" x14ac:dyDescent="0.3">
      <c r="A7" s="7" t="s">
        <v>121</v>
      </c>
      <c r="B7" s="7" t="s">
        <v>122</v>
      </c>
      <c r="C7" s="7" t="s">
        <v>123</v>
      </c>
      <c r="D7" s="7" t="s">
        <v>124</v>
      </c>
      <c r="E7" s="7" t="s">
        <v>125</v>
      </c>
      <c r="F7" s="7" t="s">
        <v>126</v>
      </c>
      <c r="G7" s="7" t="s">
        <v>127</v>
      </c>
      <c r="H7" s="7" t="s">
        <v>128</v>
      </c>
      <c r="I7" s="7" t="s">
        <v>129</v>
      </c>
      <c r="J7" s="7" t="s">
        <v>130</v>
      </c>
      <c r="K7" s="7" t="s">
        <v>131</v>
      </c>
      <c r="L7" s="7" t="s">
        <v>132</v>
      </c>
      <c r="M7" s="7" t="s">
        <v>133</v>
      </c>
      <c r="N7" s="7" t="s">
        <v>64</v>
      </c>
      <c r="O7" s="7" t="s">
        <v>134</v>
      </c>
      <c r="P7" s="7" t="s">
        <v>135</v>
      </c>
      <c r="Q7" s="7" t="s">
        <v>136</v>
      </c>
      <c r="R7" s="7" t="s">
        <v>137</v>
      </c>
      <c r="S7" s="7" t="s">
        <v>100</v>
      </c>
      <c r="T7" s="7" t="s">
        <v>100</v>
      </c>
      <c r="U7" s="8"/>
      <c r="V7" s="7" t="s">
        <v>138</v>
      </c>
      <c r="W7" s="7" t="s">
        <v>139</v>
      </c>
      <c r="X7" s="7" t="s">
        <v>105</v>
      </c>
      <c r="Y7" s="8"/>
      <c r="Z7" s="7" t="s">
        <v>79</v>
      </c>
      <c r="AA7" s="7" t="s">
        <v>63</v>
      </c>
      <c r="AB7" s="7" t="s">
        <v>140</v>
      </c>
      <c r="AC7" s="7" t="s">
        <v>141</v>
      </c>
      <c r="AD7" s="8"/>
      <c r="AE7" s="8"/>
      <c r="AF7" s="7" t="s">
        <v>142</v>
      </c>
      <c r="AG7" s="7" t="s">
        <v>143</v>
      </c>
      <c r="AH7" s="8"/>
      <c r="AI7" s="7" t="s">
        <v>144</v>
      </c>
      <c r="AJ7" s="7" t="s">
        <v>119</v>
      </c>
      <c r="AK7" s="7" t="s">
        <v>145</v>
      </c>
      <c r="AL7" s="7" t="s">
        <v>146</v>
      </c>
      <c r="AM7" s="8"/>
      <c r="AN7" s="8"/>
      <c r="AO7" s="8"/>
      <c r="AP7" s="7" t="s">
        <v>147</v>
      </c>
      <c r="AS7" s="3" t="s">
        <v>148</v>
      </c>
    </row>
    <row r="8" spans="1:45" ht="14.25" customHeight="1" x14ac:dyDescent="0.3">
      <c r="A8" s="7" t="s">
        <v>149</v>
      </c>
      <c r="B8" s="7" t="s">
        <v>150</v>
      </c>
      <c r="C8" s="7" t="s">
        <v>151</v>
      </c>
      <c r="D8" s="7" t="s">
        <v>152</v>
      </c>
      <c r="E8" s="7" t="s">
        <v>89</v>
      </c>
      <c r="F8" s="7" t="s">
        <v>153</v>
      </c>
      <c r="G8" s="7" t="s">
        <v>154</v>
      </c>
      <c r="H8" s="7" t="s">
        <v>155</v>
      </c>
      <c r="I8" s="7" t="s">
        <v>156</v>
      </c>
      <c r="J8" s="7" t="s">
        <v>157</v>
      </c>
      <c r="K8" s="7" t="s">
        <v>158</v>
      </c>
      <c r="L8" s="7" t="s">
        <v>159</v>
      </c>
      <c r="M8" s="7" t="s">
        <v>160</v>
      </c>
      <c r="N8" s="7" t="s">
        <v>119</v>
      </c>
      <c r="O8" s="7" t="s">
        <v>144</v>
      </c>
      <c r="P8" s="7" t="s">
        <v>161</v>
      </c>
      <c r="Q8" s="7" t="s">
        <v>162</v>
      </c>
      <c r="R8" s="7" t="s">
        <v>163</v>
      </c>
      <c r="S8" s="7" t="s">
        <v>119</v>
      </c>
      <c r="T8" s="7" t="s">
        <v>164</v>
      </c>
      <c r="U8" s="8"/>
      <c r="V8" s="7" t="s">
        <v>165</v>
      </c>
      <c r="W8" s="7" t="s">
        <v>166</v>
      </c>
      <c r="X8" s="8"/>
      <c r="Y8" s="8"/>
      <c r="Z8" s="8"/>
      <c r="AA8" s="7" t="s">
        <v>100</v>
      </c>
      <c r="AB8" s="7" t="s">
        <v>167</v>
      </c>
      <c r="AC8" s="7" t="s">
        <v>168</v>
      </c>
      <c r="AD8" s="8"/>
      <c r="AE8" s="8"/>
      <c r="AF8" s="8"/>
      <c r="AG8" s="7" t="s">
        <v>169</v>
      </c>
      <c r="AH8" s="8"/>
      <c r="AI8" s="7" t="s">
        <v>170</v>
      </c>
      <c r="AJ8" s="7" t="s">
        <v>171</v>
      </c>
      <c r="AK8" s="7" t="s">
        <v>172</v>
      </c>
      <c r="AL8" s="8"/>
      <c r="AM8" s="8"/>
      <c r="AN8" s="8"/>
      <c r="AO8" s="8"/>
      <c r="AP8" s="8"/>
      <c r="AS8" s="3" t="s">
        <v>173</v>
      </c>
    </row>
    <row r="9" spans="1:45" ht="14.25" customHeight="1" x14ac:dyDescent="0.3">
      <c r="A9" s="7" t="s">
        <v>174</v>
      </c>
      <c r="B9" s="7" t="s">
        <v>175</v>
      </c>
      <c r="C9" s="8"/>
      <c r="D9" s="7" t="s">
        <v>176</v>
      </c>
      <c r="E9" s="7" t="s">
        <v>177</v>
      </c>
      <c r="F9" s="7" t="s">
        <v>178</v>
      </c>
      <c r="G9" s="7" t="s">
        <v>179</v>
      </c>
      <c r="H9" s="7" t="s">
        <v>180</v>
      </c>
      <c r="I9" s="7" t="s">
        <v>181</v>
      </c>
      <c r="J9" s="7" t="s">
        <v>182</v>
      </c>
      <c r="K9" s="7" t="s">
        <v>183</v>
      </c>
      <c r="L9" s="8"/>
      <c r="M9" s="7" t="s">
        <v>184</v>
      </c>
      <c r="N9" s="7" t="s">
        <v>100</v>
      </c>
      <c r="O9" s="7" t="s">
        <v>185</v>
      </c>
      <c r="P9" s="8"/>
      <c r="Q9" s="7" t="s">
        <v>186</v>
      </c>
      <c r="R9" s="8"/>
      <c r="S9" s="7" t="s">
        <v>187</v>
      </c>
      <c r="T9" s="7" t="s">
        <v>87</v>
      </c>
      <c r="U9" s="8"/>
      <c r="V9" s="7" t="s">
        <v>188</v>
      </c>
      <c r="W9" s="7" t="s">
        <v>189</v>
      </c>
      <c r="X9" s="8"/>
      <c r="Y9" s="8"/>
      <c r="Z9" s="8"/>
      <c r="AA9" s="7" t="s">
        <v>190</v>
      </c>
      <c r="AB9" s="7" t="s">
        <v>191</v>
      </c>
      <c r="AC9" s="7" t="s">
        <v>192</v>
      </c>
      <c r="AD9" s="8"/>
      <c r="AE9" s="8"/>
      <c r="AF9" s="8"/>
      <c r="AG9" s="8"/>
      <c r="AH9" s="8"/>
      <c r="AI9" s="7" t="s">
        <v>73</v>
      </c>
      <c r="AJ9" s="7" t="s">
        <v>193</v>
      </c>
      <c r="AK9" s="7" t="s">
        <v>194</v>
      </c>
      <c r="AL9" s="8"/>
      <c r="AM9" s="8"/>
      <c r="AN9" s="8"/>
      <c r="AO9" s="8"/>
      <c r="AP9" s="8"/>
      <c r="AS9" s="3" t="s">
        <v>195</v>
      </c>
    </row>
    <row r="10" spans="1:45" ht="14.25" customHeight="1" x14ac:dyDescent="0.3">
      <c r="A10" s="7" t="s">
        <v>196</v>
      </c>
      <c r="B10" s="7" t="s">
        <v>197</v>
      </c>
      <c r="C10" s="8"/>
      <c r="D10" s="7" t="s">
        <v>198</v>
      </c>
      <c r="E10" s="7" t="s">
        <v>199</v>
      </c>
      <c r="F10" s="7" t="s">
        <v>200</v>
      </c>
      <c r="G10" s="7" t="s">
        <v>201</v>
      </c>
      <c r="H10" s="7" t="s">
        <v>202</v>
      </c>
      <c r="I10" s="8"/>
      <c r="J10" s="7" t="s">
        <v>203</v>
      </c>
      <c r="K10" s="8"/>
      <c r="L10" s="8"/>
      <c r="M10" s="8"/>
      <c r="N10" s="7" t="s">
        <v>204</v>
      </c>
      <c r="O10" s="7" t="s">
        <v>205</v>
      </c>
      <c r="P10" s="8"/>
      <c r="Q10" s="8"/>
      <c r="R10" s="8"/>
      <c r="S10" s="7" t="s">
        <v>206</v>
      </c>
      <c r="T10" s="8"/>
      <c r="U10" s="8"/>
      <c r="V10" s="7" t="s">
        <v>207</v>
      </c>
      <c r="W10" s="8"/>
      <c r="X10" s="8"/>
      <c r="Y10" s="8"/>
      <c r="Z10" s="8"/>
      <c r="AA10" s="7" t="s">
        <v>208</v>
      </c>
      <c r="AB10" s="8"/>
      <c r="AC10" s="7" t="s">
        <v>209</v>
      </c>
      <c r="AD10" s="8"/>
      <c r="AE10" s="8"/>
      <c r="AF10" s="8"/>
      <c r="AG10" s="8"/>
      <c r="AH10" s="8"/>
      <c r="AI10" s="8"/>
      <c r="AJ10" s="7"/>
      <c r="AK10" s="8"/>
      <c r="AL10" s="8"/>
      <c r="AM10" s="8"/>
      <c r="AN10" s="8"/>
      <c r="AO10" s="8"/>
      <c r="AP10" s="8"/>
      <c r="AS10" s="3" t="s">
        <v>210</v>
      </c>
    </row>
    <row r="11" spans="1:45" ht="14.25" customHeight="1" x14ac:dyDescent="0.3">
      <c r="A11" s="7" t="s">
        <v>211</v>
      </c>
      <c r="B11" s="8"/>
      <c r="C11" s="8"/>
      <c r="D11" s="7" t="s">
        <v>212</v>
      </c>
      <c r="E11" s="7" t="s">
        <v>52</v>
      </c>
      <c r="F11" s="7" t="s">
        <v>213</v>
      </c>
      <c r="G11" s="7" t="s">
        <v>214</v>
      </c>
      <c r="H11" s="7" t="s">
        <v>215</v>
      </c>
      <c r="I11" s="8"/>
      <c r="J11" s="8"/>
      <c r="K11" s="8"/>
      <c r="L11" s="8"/>
      <c r="M11" s="8"/>
      <c r="N11" s="7" t="s">
        <v>216</v>
      </c>
      <c r="O11" s="7" t="s">
        <v>217</v>
      </c>
      <c r="P11" s="8"/>
      <c r="Q11" s="8"/>
      <c r="R11" s="8"/>
      <c r="S11" s="7" t="s">
        <v>218</v>
      </c>
      <c r="T11" s="8"/>
      <c r="U11" s="8"/>
      <c r="V11" s="7" t="s">
        <v>219</v>
      </c>
      <c r="W11" s="8"/>
      <c r="X11" s="8"/>
      <c r="Y11" s="8"/>
      <c r="Z11" s="8"/>
      <c r="AA11" s="7" t="s">
        <v>220</v>
      </c>
      <c r="AB11" s="8"/>
      <c r="AC11" s="7" t="s">
        <v>221</v>
      </c>
      <c r="AD11" s="8"/>
      <c r="AE11" s="8"/>
      <c r="AF11" s="8"/>
      <c r="AG11" s="8"/>
      <c r="AH11" s="8"/>
      <c r="AI11" s="8"/>
      <c r="AJ11" s="7"/>
      <c r="AK11" s="8"/>
      <c r="AL11" s="8"/>
      <c r="AM11" s="8"/>
      <c r="AN11" s="8"/>
      <c r="AO11" s="8"/>
      <c r="AP11" s="8"/>
      <c r="AS11" s="3" t="s">
        <v>222</v>
      </c>
    </row>
    <row r="12" spans="1:45" ht="14.25" customHeight="1" x14ac:dyDescent="0.3">
      <c r="A12" s="7" t="s">
        <v>223</v>
      </c>
      <c r="B12" s="8"/>
      <c r="C12" s="8"/>
      <c r="D12" s="8"/>
      <c r="E12" s="7" t="s">
        <v>224</v>
      </c>
      <c r="F12" s="8"/>
      <c r="G12" s="7" t="s">
        <v>225</v>
      </c>
      <c r="H12" s="7" t="s">
        <v>226</v>
      </c>
      <c r="I12" s="8"/>
      <c r="J12" s="8"/>
      <c r="K12" s="8"/>
      <c r="L12" s="8"/>
      <c r="M12" s="8"/>
      <c r="N12" s="7" t="s">
        <v>227</v>
      </c>
      <c r="O12" s="8"/>
      <c r="P12" s="8"/>
      <c r="Q12" s="8"/>
      <c r="R12" s="8"/>
      <c r="S12" s="8"/>
      <c r="T12" s="8"/>
      <c r="U12" s="8"/>
      <c r="V12" s="7" t="s">
        <v>228</v>
      </c>
      <c r="W12" s="8"/>
      <c r="X12" s="8"/>
      <c r="Y12" s="8"/>
      <c r="Z12" s="8"/>
      <c r="AA12" s="7" t="s">
        <v>218</v>
      </c>
      <c r="AB12" s="8"/>
      <c r="AC12" s="8"/>
      <c r="AD12" s="8"/>
      <c r="AE12" s="8"/>
      <c r="AF12" s="8"/>
      <c r="AG12" s="8"/>
      <c r="AH12" s="8"/>
      <c r="AI12" s="8"/>
      <c r="AJ12" s="7"/>
      <c r="AK12" s="8"/>
      <c r="AL12" s="8"/>
      <c r="AM12" s="8"/>
      <c r="AN12" s="8"/>
      <c r="AO12" s="8"/>
      <c r="AP12" s="8"/>
      <c r="AS12" s="3" t="s">
        <v>229</v>
      </c>
    </row>
    <row r="13" spans="1:45" ht="14.25" customHeight="1" x14ac:dyDescent="0.3">
      <c r="A13" s="7" t="s">
        <v>230</v>
      </c>
      <c r="B13" s="8"/>
      <c r="C13" s="8"/>
      <c r="D13" s="8"/>
      <c r="E13" s="8"/>
      <c r="F13" s="8"/>
      <c r="G13" s="7" t="s">
        <v>231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7" t="s">
        <v>232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S13" s="3" t="s">
        <v>233</v>
      </c>
    </row>
    <row r="14" spans="1:45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7" t="s">
        <v>234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S14" s="3" t="s">
        <v>235</v>
      </c>
    </row>
    <row r="15" spans="1:45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7" t="s">
        <v>236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S15" s="3" t="s">
        <v>237</v>
      </c>
    </row>
    <row r="16" spans="1:45" ht="14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7" t="s">
        <v>238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S16" s="3" t="s">
        <v>239</v>
      </c>
    </row>
    <row r="17" spans="1:45" ht="14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7" t="s">
        <v>240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S17" s="3" t="s">
        <v>241</v>
      </c>
    </row>
    <row r="18" spans="1:45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7" t="s">
        <v>242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S18" s="3" t="s">
        <v>243</v>
      </c>
    </row>
    <row r="19" spans="1:45" ht="14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7" t="s">
        <v>244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S19" s="3" t="s">
        <v>245</v>
      </c>
    </row>
    <row r="20" spans="1:45" ht="14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7" t="s">
        <v>246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S20" s="3" t="s">
        <v>247</v>
      </c>
    </row>
    <row r="21" spans="1:45" ht="14.25" customHeight="1" x14ac:dyDescent="0.3">
      <c r="AS21" s="3" t="s">
        <v>248</v>
      </c>
    </row>
    <row r="22" spans="1:45" ht="14.25" customHeight="1" x14ac:dyDescent="0.3">
      <c r="AS22" s="3" t="s">
        <v>249</v>
      </c>
    </row>
    <row r="23" spans="1:45" ht="14.25" customHeight="1" x14ac:dyDescent="0.3">
      <c r="AS23" s="3" t="s">
        <v>250</v>
      </c>
    </row>
    <row r="24" spans="1:45" ht="14.25" customHeight="1" x14ac:dyDescent="0.3">
      <c r="AS24" s="3" t="s">
        <v>251</v>
      </c>
    </row>
    <row r="25" spans="1:45" ht="14.25" customHeight="1" x14ac:dyDescent="0.3">
      <c r="AS25" s="3" t="s">
        <v>252</v>
      </c>
    </row>
    <row r="26" spans="1:45" ht="14.25" customHeight="1" x14ac:dyDescent="0.3">
      <c r="AS26" s="3" t="s">
        <v>253</v>
      </c>
    </row>
    <row r="27" spans="1:45" ht="14.25" customHeight="1" x14ac:dyDescent="0.3">
      <c r="AS27" s="3" t="s">
        <v>254</v>
      </c>
    </row>
    <row r="28" spans="1:45" ht="14.25" customHeight="1" x14ac:dyDescent="0.3">
      <c r="AS28" s="3" t="s">
        <v>255</v>
      </c>
    </row>
    <row r="29" spans="1:45" ht="14.25" customHeight="1" x14ac:dyDescent="0.3">
      <c r="AS29" s="3" t="s">
        <v>256</v>
      </c>
    </row>
    <row r="30" spans="1:45" ht="14.25" customHeight="1" x14ac:dyDescent="0.3">
      <c r="AS30" s="3" t="s">
        <v>257</v>
      </c>
    </row>
  </sheetData>
  <mergeCells count="2">
    <mergeCell ref="C1:AR1"/>
    <mergeCell ref="C2:AR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082"/>
  </sheetPr>
  <dimension ref="A1:T15"/>
  <sheetViews>
    <sheetView showGridLines="0" zoomScaleNormal="100" workbookViewId="0">
      <pane ySplit="4" topLeftCell="A5" activePane="bottomLeft" state="frozen"/>
      <selection pane="bottomLeft" activeCell="H18" sqref="H18"/>
    </sheetView>
  </sheetViews>
  <sheetFormatPr defaultColWidth="8.5546875" defaultRowHeight="14.4" x14ac:dyDescent="0.3"/>
  <cols>
    <col min="1" max="5" width="16" customWidth="1"/>
    <col min="6" max="8" width="24" customWidth="1"/>
    <col min="9" max="9" width="25" customWidth="1"/>
    <col min="10" max="10" width="17" customWidth="1"/>
    <col min="11" max="11" width="20" customWidth="1"/>
    <col min="12" max="12" width="34" customWidth="1"/>
    <col min="13" max="13" width="20" customWidth="1"/>
    <col min="14" max="14" width="34" customWidth="1"/>
    <col min="15" max="20" width="20" customWidth="1"/>
  </cols>
  <sheetData>
    <row r="1" spans="1:20" ht="21" customHeight="1" x14ac:dyDescent="0.3">
      <c r="A1" s="4" t="s">
        <v>0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</row>
    <row r="2" spans="1:20" ht="21" customHeight="1" x14ac:dyDescent="0.3">
      <c r="A2" s="2"/>
      <c r="C2" s="118" t="s">
        <v>258</v>
      </c>
      <c r="D2" s="118"/>
      <c r="E2" s="118"/>
      <c r="F2" s="118"/>
      <c r="G2" s="118"/>
      <c r="H2" s="118"/>
      <c r="I2" s="118"/>
      <c r="J2" s="118"/>
      <c r="K2" s="118"/>
      <c r="L2" s="118"/>
    </row>
    <row r="3" spans="1:20" ht="12" customHeight="1" x14ac:dyDescent="0.3">
      <c r="A3" t="s">
        <v>949</v>
      </c>
    </row>
    <row r="4" spans="1:20" ht="30" customHeight="1" x14ac:dyDescent="0.3">
      <c r="A4" s="5" t="s">
        <v>259</v>
      </c>
      <c r="B4" s="5" t="s">
        <v>260</v>
      </c>
      <c r="C4" s="5" t="s">
        <v>261</v>
      </c>
      <c r="D4" s="5" t="s">
        <v>3</v>
      </c>
      <c r="E4" s="5" t="s">
        <v>262</v>
      </c>
      <c r="F4" s="5" t="s">
        <v>263</v>
      </c>
      <c r="G4" s="5" t="s">
        <v>264</v>
      </c>
      <c r="H4" s="5" t="s">
        <v>4</v>
      </c>
      <c r="I4" s="5" t="s">
        <v>265</v>
      </c>
      <c r="J4" s="5" t="s">
        <v>266</v>
      </c>
      <c r="K4" s="9" t="s">
        <v>267</v>
      </c>
      <c r="L4" s="9" t="s">
        <v>268</v>
      </c>
      <c r="M4" s="9" t="s">
        <v>269</v>
      </c>
      <c r="N4" s="9" t="s">
        <v>270</v>
      </c>
      <c r="O4" s="81" t="s">
        <v>271</v>
      </c>
      <c r="P4" s="81" t="s">
        <v>272</v>
      </c>
      <c r="Q4" s="81" t="s">
        <v>273</v>
      </c>
      <c r="R4" s="9" t="s">
        <v>274</v>
      </c>
      <c r="S4" s="9" t="s">
        <v>275</v>
      </c>
      <c r="T4" s="9" t="s">
        <v>276</v>
      </c>
    </row>
    <row r="5" spans="1:20" ht="14.25" customHeight="1" x14ac:dyDescent="0.3">
      <c r="A5" s="119" t="s">
        <v>277</v>
      </c>
      <c r="B5" s="121" t="s">
        <v>278</v>
      </c>
      <c r="C5" s="121" t="s">
        <v>278</v>
      </c>
      <c r="D5" s="123" t="s">
        <v>279</v>
      </c>
      <c r="E5" s="121" t="s">
        <v>278</v>
      </c>
      <c r="F5" s="121" t="s">
        <v>278</v>
      </c>
      <c r="G5" s="121" t="s">
        <v>278</v>
      </c>
      <c r="H5" s="123" t="s">
        <v>279</v>
      </c>
      <c r="I5" s="125" t="s">
        <v>278</v>
      </c>
      <c r="J5" s="123" t="s">
        <v>279</v>
      </c>
      <c r="K5" s="11" t="s">
        <v>278</v>
      </c>
      <c r="L5" s="11" t="s">
        <v>278</v>
      </c>
      <c r="M5" s="11" t="s">
        <v>278</v>
      </c>
      <c r="N5" s="11" t="s">
        <v>278</v>
      </c>
      <c r="O5" s="12" t="s">
        <v>279</v>
      </c>
      <c r="P5" s="11" t="s">
        <v>278</v>
      </c>
      <c r="Q5" s="12" t="s">
        <v>279</v>
      </c>
      <c r="R5" s="11" t="s">
        <v>278</v>
      </c>
      <c r="S5" s="12" t="s">
        <v>279</v>
      </c>
      <c r="T5" s="12" t="s">
        <v>279</v>
      </c>
    </row>
    <row r="6" spans="1:20" ht="14.25" customHeight="1" x14ac:dyDescent="0.3">
      <c r="A6" s="120"/>
      <c r="B6" s="122"/>
      <c r="C6" s="122"/>
      <c r="D6" s="124"/>
      <c r="E6" s="122"/>
      <c r="F6" s="122"/>
      <c r="G6" s="122"/>
      <c r="H6" s="124"/>
      <c r="I6" s="126"/>
      <c r="J6" s="124"/>
    </row>
    <row r="7" spans="1:20" ht="14.25" customHeight="1" x14ac:dyDescent="0.3">
      <c r="A7" s="13" t="s">
        <v>295</v>
      </c>
      <c r="B7" s="7" t="s">
        <v>281</v>
      </c>
      <c r="C7" s="7" t="s">
        <v>282</v>
      </c>
      <c r="D7" s="7" t="s">
        <v>83</v>
      </c>
      <c r="E7" s="7" t="s">
        <v>283</v>
      </c>
      <c r="F7" s="7" t="s">
        <v>284</v>
      </c>
      <c r="G7" s="7" t="s">
        <v>285</v>
      </c>
      <c r="H7" s="7" t="s">
        <v>47</v>
      </c>
      <c r="I7" s="7" t="s">
        <v>78</v>
      </c>
      <c r="J7" s="7" t="s">
        <v>69</v>
      </c>
      <c r="K7" s="13" t="s">
        <v>286</v>
      </c>
      <c r="L7" s="13" t="s">
        <v>287</v>
      </c>
      <c r="M7" s="13" t="s">
        <v>288</v>
      </c>
      <c r="N7" s="13" t="s">
        <v>289</v>
      </c>
      <c r="O7" s="13" t="s">
        <v>290</v>
      </c>
      <c r="P7" s="13" t="s">
        <v>291</v>
      </c>
      <c r="Q7" s="13" t="s">
        <v>292</v>
      </c>
      <c r="R7" s="13" t="s">
        <v>293</v>
      </c>
      <c r="S7" s="13" t="s">
        <v>48</v>
      </c>
      <c r="T7" s="13" t="s">
        <v>294</v>
      </c>
    </row>
    <row r="8" spans="1:20" ht="14.25" customHeight="1" x14ac:dyDescent="0.3">
      <c r="A8" s="13" t="s">
        <v>305</v>
      </c>
      <c r="B8" s="7" t="s">
        <v>296</v>
      </c>
      <c r="C8" s="7" t="s">
        <v>297</v>
      </c>
      <c r="D8" s="7" t="s">
        <v>121</v>
      </c>
      <c r="E8" s="7" t="s">
        <v>298</v>
      </c>
      <c r="F8" s="7" t="s">
        <v>299</v>
      </c>
      <c r="G8" s="7" t="s">
        <v>300</v>
      </c>
      <c r="H8" s="7" t="s">
        <v>122</v>
      </c>
      <c r="I8" s="7" t="s">
        <v>114</v>
      </c>
      <c r="J8" s="7" t="s">
        <v>69</v>
      </c>
      <c r="K8" s="13" t="s">
        <v>296</v>
      </c>
      <c r="L8" s="13" t="s">
        <v>301</v>
      </c>
      <c r="M8" s="13"/>
      <c r="N8" s="13"/>
      <c r="O8" s="13" t="s">
        <v>121</v>
      </c>
      <c r="P8" s="13" t="s">
        <v>302</v>
      </c>
      <c r="Q8" s="13" t="s">
        <v>303</v>
      </c>
      <c r="R8" s="13" t="s">
        <v>293</v>
      </c>
      <c r="S8" s="13" t="s">
        <v>48</v>
      </c>
      <c r="T8" s="13" t="s">
        <v>304</v>
      </c>
    </row>
    <row r="9" spans="1:20" ht="14.25" customHeight="1" x14ac:dyDescent="0.3">
      <c r="A9" s="13" t="s">
        <v>314</v>
      </c>
      <c r="B9" s="7" t="s">
        <v>306</v>
      </c>
      <c r="C9" s="7" t="s">
        <v>307</v>
      </c>
      <c r="D9" s="84" t="s">
        <v>149</v>
      </c>
      <c r="E9" s="7" t="s">
        <v>308</v>
      </c>
      <c r="F9" s="7" t="s">
        <v>309</v>
      </c>
      <c r="G9" s="7" t="s">
        <v>310</v>
      </c>
      <c r="H9" s="7" t="s">
        <v>84</v>
      </c>
      <c r="I9" s="7" t="s">
        <v>145</v>
      </c>
      <c r="J9" s="7" t="s">
        <v>69</v>
      </c>
      <c r="K9" s="13" t="s">
        <v>306</v>
      </c>
      <c r="L9" s="13" t="s">
        <v>311</v>
      </c>
      <c r="M9" s="13"/>
      <c r="N9" s="13"/>
      <c r="O9" s="13" t="s">
        <v>149</v>
      </c>
      <c r="P9" s="13" t="s">
        <v>312</v>
      </c>
      <c r="Q9" s="13" t="s">
        <v>313</v>
      </c>
      <c r="R9" s="13" t="s">
        <v>293</v>
      </c>
      <c r="S9" s="13" t="s">
        <v>48</v>
      </c>
      <c r="T9" s="13" t="s">
        <v>294</v>
      </c>
    </row>
    <row r="10" spans="1:20" ht="14.25" customHeight="1" x14ac:dyDescent="0.3">
      <c r="A10" s="13" t="s">
        <v>322</v>
      </c>
      <c r="B10" s="7" t="s">
        <v>315</v>
      </c>
      <c r="C10" s="7" t="s">
        <v>316</v>
      </c>
      <c r="D10" s="7" t="s">
        <v>83</v>
      </c>
      <c r="E10" s="7" t="s">
        <v>317</v>
      </c>
      <c r="F10" s="7" t="s">
        <v>318</v>
      </c>
      <c r="G10" s="7" t="s">
        <v>319</v>
      </c>
      <c r="H10" s="7" t="s">
        <v>47</v>
      </c>
      <c r="I10" s="7" t="s">
        <v>172</v>
      </c>
      <c r="J10" s="7" t="s">
        <v>69</v>
      </c>
      <c r="K10" s="13" t="s">
        <v>315</v>
      </c>
      <c r="L10" s="13" t="s">
        <v>320</v>
      </c>
      <c r="M10" s="13"/>
      <c r="N10" s="13"/>
      <c r="O10" s="13" t="s">
        <v>83</v>
      </c>
      <c r="P10" s="13" t="s">
        <v>321</v>
      </c>
      <c r="Q10" s="13" t="s">
        <v>83</v>
      </c>
      <c r="R10" s="13" t="s">
        <v>293</v>
      </c>
      <c r="S10" s="13" t="s">
        <v>85</v>
      </c>
      <c r="T10" s="13" t="s">
        <v>304</v>
      </c>
    </row>
    <row r="11" spans="1:20" ht="14.25" customHeight="1" x14ac:dyDescent="0.3">
      <c r="A11" s="13" t="s">
        <v>331</v>
      </c>
      <c r="B11" s="7" t="s">
        <v>323</v>
      </c>
      <c r="C11" s="7" t="s">
        <v>324</v>
      </c>
      <c r="D11" s="7" t="s">
        <v>211</v>
      </c>
      <c r="E11" s="7" t="s">
        <v>325</v>
      </c>
      <c r="F11" s="7" t="s">
        <v>326</v>
      </c>
      <c r="G11" s="7" t="s">
        <v>327</v>
      </c>
      <c r="H11" s="7" t="s">
        <v>84</v>
      </c>
      <c r="I11" s="7" t="s">
        <v>114</v>
      </c>
      <c r="J11" s="7" t="s">
        <v>69</v>
      </c>
      <c r="K11" s="13" t="s">
        <v>323</v>
      </c>
      <c r="L11" s="13" t="s">
        <v>328</v>
      </c>
      <c r="M11" s="13"/>
      <c r="N11" s="13"/>
      <c r="O11" s="13" t="s">
        <v>211</v>
      </c>
      <c r="P11" s="13" t="s">
        <v>329</v>
      </c>
      <c r="Q11" s="13" t="s">
        <v>330</v>
      </c>
      <c r="R11" s="13" t="s">
        <v>293</v>
      </c>
      <c r="S11" s="13" t="s">
        <v>48</v>
      </c>
      <c r="T11" s="13" t="s">
        <v>294</v>
      </c>
    </row>
    <row r="12" spans="1:20" ht="14.25" customHeight="1" x14ac:dyDescent="0.3">
      <c r="A12" s="13" t="s">
        <v>340</v>
      </c>
      <c r="B12" s="7" t="s">
        <v>332</v>
      </c>
      <c r="C12" s="7" t="s">
        <v>333</v>
      </c>
      <c r="D12" s="7" t="s">
        <v>196</v>
      </c>
      <c r="E12" s="7" t="s">
        <v>334</v>
      </c>
      <c r="F12" s="7" t="s">
        <v>335</v>
      </c>
      <c r="G12" s="7" t="s">
        <v>336</v>
      </c>
      <c r="H12" s="7" t="s">
        <v>84</v>
      </c>
      <c r="I12" s="7" t="s">
        <v>145</v>
      </c>
      <c r="J12" s="7" t="s">
        <v>69</v>
      </c>
      <c r="K12" s="13" t="s">
        <v>332</v>
      </c>
      <c r="L12" s="13" t="s">
        <v>337</v>
      </c>
      <c r="M12" s="13"/>
      <c r="N12" s="13"/>
      <c r="O12" s="13" t="s">
        <v>196</v>
      </c>
      <c r="P12" s="13" t="s">
        <v>338</v>
      </c>
      <c r="Q12" s="13" t="s">
        <v>339</v>
      </c>
      <c r="R12" s="13" t="s">
        <v>293</v>
      </c>
      <c r="S12" s="13" t="s">
        <v>48</v>
      </c>
      <c r="T12" s="13" t="s">
        <v>304</v>
      </c>
    </row>
    <row r="13" spans="1:20" ht="14.25" customHeight="1" x14ac:dyDescent="0.3">
      <c r="A13" s="13" t="s">
        <v>349</v>
      </c>
      <c r="B13" s="7" t="s">
        <v>341</v>
      </c>
      <c r="C13" s="7" t="s">
        <v>342</v>
      </c>
      <c r="D13" s="7" t="s">
        <v>223</v>
      </c>
      <c r="E13" s="7" t="s">
        <v>343</v>
      </c>
      <c r="F13" s="7" t="s">
        <v>344</v>
      </c>
      <c r="G13" s="7" t="s">
        <v>345</v>
      </c>
      <c r="H13" s="7" t="s">
        <v>175</v>
      </c>
      <c r="I13" s="7" t="s">
        <v>194</v>
      </c>
      <c r="J13" s="7" t="s">
        <v>104</v>
      </c>
      <c r="K13" s="13" t="s">
        <v>341</v>
      </c>
      <c r="L13" s="13" t="s">
        <v>346</v>
      </c>
      <c r="M13" s="13"/>
      <c r="N13" s="13"/>
      <c r="O13" s="13" t="s">
        <v>223</v>
      </c>
      <c r="P13" s="13" t="s">
        <v>347</v>
      </c>
      <c r="Q13" s="13" t="s">
        <v>348</v>
      </c>
      <c r="R13" s="13" t="s">
        <v>293</v>
      </c>
      <c r="S13" s="13" t="s">
        <v>48</v>
      </c>
      <c r="T13" s="13" t="s">
        <v>294</v>
      </c>
    </row>
    <row r="15" spans="1:20" x14ac:dyDescent="0.3">
      <c r="G15" s="82"/>
    </row>
  </sheetData>
  <mergeCells count="12">
    <mergeCell ref="C1:L1"/>
    <mergeCell ref="C2:L2"/>
    <mergeCell ref="A5:A6"/>
    <mergeCell ref="B5:B6"/>
    <mergeCell ref="C5:C6"/>
    <mergeCell ref="J5:J6"/>
    <mergeCell ref="I5:I6"/>
    <mergeCell ref="H5:H6"/>
    <mergeCell ref="G5:G6"/>
    <mergeCell ref="F5:F6"/>
    <mergeCell ref="E5:E6"/>
    <mergeCell ref="D5:D6"/>
  </mergeCells>
  <dataValidations count="6">
    <dataValidation type="list" allowBlank="1" errorTitle="Not in master" error="Value must be chosen from the master list." promptTitle="Master-driven list" prompt="Select from L_Country" sqref="D7:D500" xr:uid="{00000000-0002-0000-0300-000000000000}">
      <formula1>L_Country</formula1>
      <formula2>0</formula2>
    </dataValidation>
    <dataValidation type="list" allowBlank="1" errorTitle="Not in master" error="Value must be chosen from the master list." promptTitle="Master-driven list" prompt="Select from L_Currency" sqref="H7:H500" xr:uid="{00000000-0002-0000-0300-000001000000}">
      <formula1>L_Currency</formula1>
      <formula2>0</formula2>
    </dataValidation>
    <dataValidation type="list" allowBlank="1" errorTitle="Not in master" error="Value must be chosen from the master list." promptTitle="Master-driven list" prompt="Select from L_PaymentTerms" sqref="I7:I500" xr:uid="{00000000-0002-0000-0300-000002000000}">
      <formula1>L_PaymentTerms</formula1>
      <formula2>0</formula2>
    </dataValidation>
    <dataValidation type="list" allowBlank="1" errorTitle="Not in master" error="Value must be chosen from the master list." promptTitle="Master-driven list" prompt="Select from L_StatusActive" sqref="J7:J500" xr:uid="{00000000-0002-0000-0300-000003000000}">
      <formula1>L_StatusActive</formula1>
      <formula2>0</formula2>
    </dataValidation>
    <dataValidation type="list" allowBlank="1" sqref="O7:O500" xr:uid="{00000000-0002-0000-0300-000004000000}">
      <formula1>L_Country</formula1>
      <formula2>0</formula2>
    </dataValidation>
    <dataValidation type="list" allowBlank="1" sqref="S7:S500" xr:uid="{00000000-0002-0000-0300-000005000000}">
      <formula1>L_ShipMode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082"/>
  </sheetPr>
  <dimension ref="A1:M18"/>
  <sheetViews>
    <sheetView showGridLines="0" zoomScaleNormal="100" workbookViewId="0">
      <pane ySplit="4" topLeftCell="A5" activePane="bottomLeft" state="frozen"/>
      <selection pane="bottomLeft" activeCell="E6" sqref="E6"/>
    </sheetView>
  </sheetViews>
  <sheetFormatPr defaultColWidth="8.5546875" defaultRowHeight="14.4" x14ac:dyDescent="0.3"/>
  <cols>
    <col min="1" max="1" width="27.5546875" bestFit="1" customWidth="1"/>
    <col min="2" max="2" width="16" customWidth="1"/>
    <col min="3" max="3" width="16.44140625" bestFit="1" customWidth="1"/>
    <col min="4" max="5" width="16" customWidth="1"/>
    <col min="6" max="10" width="17" customWidth="1"/>
    <col min="11" max="11" width="24.88671875" bestFit="1" customWidth="1"/>
  </cols>
  <sheetData>
    <row r="1" spans="1:13" ht="21" customHeight="1" x14ac:dyDescent="0.3">
      <c r="A1" s="4" t="s">
        <v>0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1" customHeight="1" x14ac:dyDescent="0.3">
      <c r="A2" s="2"/>
      <c r="C2" s="118" t="s">
        <v>350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 ht="12" customHeight="1" x14ac:dyDescent="0.3"/>
    <row r="4" spans="1:13" ht="30" customHeight="1" x14ac:dyDescent="0.3">
      <c r="A4" s="5" t="s">
        <v>351</v>
      </c>
      <c r="B4" s="5" t="s">
        <v>352</v>
      </c>
      <c r="C4" s="5" t="s">
        <v>353</v>
      </c>
      <c r="D4" s="5" t="s">
        <v>261</v>
      </c>
      <c r="E4" s="5" t="s">
        <v>354</v>
      </c>
      <c r="F4" s="5" t="s">
        <v>262</v>
      </c>
      <c r="G4" s="5" t="s">
        <v>264</v>
      </c>
      <c r="H4" s="5" t="s">
        <v>263</v>
      </c>
      <c r="I4" s="5" t="s">
        <v>355</v>
      </c>
      <c r="J4" s="5" t="s">
        <v>266</v>
      </c>
      <c r="K4" s="5" t="s">
        <v>356</v>
      </c>
    </row>
    <row r="5" spans="1:13" ht="14.25" customHeight="1" x14ac:dyDescent="0.3">
      <c r="A5" s="114" t="s">
        <v>277</v>
      </c>
      <c r="B5" s="113" t="s">
        <v>278</v>
      </c>
      <c r="C5" s="111" t="s">
        <v>279</v>
      </c>
      <c r="D5" s="113" t="s">
        <v>278</v>
      </c>
      <c r="E5" s="113" t="s">
        <v>278</v>
      </c>
      <c r="F5" s="113" t="s">
        <v>278</v>
      </c>
      <c r="G5" s="113" t="s">
        <v>278</v>
      </c>
      <c r="H5" s="113" t="s">
        <v>278</v>
      </c>
      <c r="I5" s="113" t="s">
        <v>278</v>
      </c>
      <c r="J5" s="111" t="s">
        <v>279</v>
      </c>
      <c r="K5" s="113" t="s">
        <v>357</v>
      </c>
    </row>
    <row r="6" spans="1:13" ht="57" customHeight="1" x14ac:dyDescent="0.3">
      <c r="A6" s="8"/>
      <c r="B6" s="8"/>
      <c r="C6" s="115" t="s">
        <v>957</v>
      </c>
      <c r="D6" s="8"/>
      <c r="E6" s="8"/>
      <c r="F6" s="8"/>
      <c r="G6" s="8"/>
      <c r="H6" s="8"/>
      <c r="I6" s="8"/>
      <c r="J6" s="10" t="s">
        <v>280</v>
      </c>
      <c r="K6" s="8"/>
    </row>
    <row r="7" spans="1:13" ht="14.25" customHeight="1" x14ac:dyDescent="0.3">
      <c r="A7" s="7" t="s">
        <v>358</v>
      </c>
      <c r="B7" s="7" t="s">
        <v>359</v>
      </c>
      <c r="C7" s="7" t="s">
        <v>50</v>
      </c>
      <c r="D7" s="7" t="s">
        <v>360</v>
      </c>
      <c r="E7" s="7" t="s">
        <v>361</v>
      </c>
      <c r="F7" s="7" t="s">
        <v>362</v>
      </c>
      <c r="G7" s="7" t="s">
        <v>363</v>
      </c>
      <c r="H7" s="7" t="s">
        <v>364</v>
      </c>
      <c r="I7" s="7" t="s">
        <v>365</v>
      </c>
      <c r="J7" s="7" t="s">
        <v>69</v>
      </c>
      <c r="K7" s="7" t="s">
        <v>366</v>
      </c>
    </row>
    <row r="8" spans="1:13" ht="14.25" customHeight="1" x14ac:dyDescent="0.3">
      <c r="A8" s="7" t="s">
        <v>367</v>
      </c>
      <c r="B8" s="7" t="s">
        <v>368</v>
      </c>
      <c r="C8" s="7" t="s">
        <v>87</v>
      </c>
      <c r="D8" s="7" t="s">
        <v>369</v>
      </c>
      <c r="E8" s="7" t="s">
        <v>370</v>
      </c>
      <c r="F8" s="7" t="s">
        <v>371</v>
      </c>
      <c r="G8" s="7" t="s">
        <v>372</v>
      </c>
      <c r="H8" s="7" t="s">
        <v>373</v>
      </c>
      <c r="I8" s="7" t="s">
        <v>374</v>
      </c>
      <c r="J8" s="7" t="s">
        <v>69</v>
      </c>
      <c r="K8" s="7" t="s">
        <v>375</v>
      </c>
    </row>
    <row r="9" spans="1:13" ht="14.25" customHeight="1" x14ac:dyDescent="0.3">
      <c r="A9" s="7" t="s">
        <v>376</v>
      </c>
      <c r="B9" s="7" t="s">
        <v>377</v>
      </c>
      <c r="C9" s="7" t="s">
        <v>63</v>
      </c>
      <c r="D9" s="7" t="s">
        <v>378</v>
      </c>
      <c r="E9" s="7" t="s">
        <v>379</v>
      </c>
      <c r="F9" s="7" t="s">
        <v>380</v>
      </c>
      <c r="G9" s="7" t="s">
        <v>381</v>
      </c>
      <c r="H9" s="7" t="s">
        <v>382</v>
      </c>
      <c r="I9" s="7" t="s">
        <v>383</v>
      </c>
      <c r="J9" s="7" t="s">
        <v>69</v>
      </c>
      <c r="K9" s="7" t="s">
        <v>384</v>
      </c>
    </row>
    <row r="10" spans="1:13" ht="14.25" customHeight="1" x14ac:dyDescent="0.3">
      <c r="A10" s="7" t="s">
        <v>385</v>
      </c>
      <c r="B10" s="7" t="s">
        <v>386</v>
      </c>
      <c r="C10" s="7" t="s">
        <v>100</v>
      </c>
      <c r="D10" s="7" t="s">
        <v>387</v>
      </c>
      <c r="E10" s="7" t="s">
        <v>388</v>
      </c>
      <c r="F10" s="7" t="s">
        <v>389</v>
      </c>
      <c r="G10" s="7" t="s">
        <v>390</v>
      </c>
      <c r="H10" s="7" t="s">
        <v>391</v>
      </c>
      <c r="I10" s="7" t="s">
        <v>392</v>
      </c>
      <c r="J10" s="7" t="s">
        <v>69</v>
      </c>
      <c r="K10" s="7" t="s">
        <v>393</v>
      </c>
    </row>
    <row r="11" spans="1:13" ht="14.25" customHeight="1" x14ac:dyDescent="0.3">
      <c r="A11" s="7" t="s">
        <v>394</v>
      </c>
      <c r="B11" s="7" t="s">
        <v>395</v>
      </c>
      <c r="C11" s="7" t="s">
        <v>100</v>
      </c>
      <c r="D11" s="7" t="s">
        <v>396</v>
      </c>
      <c r="E11" s="7" t="s">
        <v>397</v>
      </c>
      <c r="F11" s="7" t="s">
        <v>398</v>
      </c>
      <c r="G11" s="7" t="s">
        <v>399</v>
      </c>
      <c r="H11" s="7" t="s">
        <v>400</v>
      </c>
      <c r="I11" s="7" t="s">
        <v>401</v>
      </c>
      <c r="J11" s="7" t="s">
        <v>69</v>
      </c>
      <c r="K11" s="7" t="s">
        <v>402</v>
      </c>
    </row>
    <row r="12" spans="1:13" ht="14.25" customHeight="1" x14ac:dyDescent="0.3">
      <c r="A12" s="7" t="s">
        <v>403</v>
      </c>
      <c r="B12" s="7" t="s">
        <v>404</v>
      </c>
      <c r="C12" s="7" t="s">
        <v>190</v>
      </c>
      <c r="D12" s="7" t="s">
        <v>405</v>
      </c>
      <c r="E12" s="7" t="s">
        <v>406</v>
      </c>
      <c r="F12" s="7" t="s">
        <v>407</v>
      </c>
      <c r="G12" s="7" t="s">
        <v>408</v>
      </c>
      <c r="H12" s="7" t="s">
        <v>409</v>
      </c>
      <c r="I12" s="7" t="s">
        <v>410</v>
      </c>
      <c r="J12" s="7" t="s">
        <v>69</v>
      </c>
      <c r="K12" s="7" t="s">
        <v>411</v>
      </c>
    </row>
    <row r="13" spans="1:13" ht="14.25" customHeight="1" x14ac:dyDescent="0.3">
      <c r="A13" s="7" t="s">
        <v>412</v>
      </c>
      <c r="B13" s="7" t="s">
        <v>413</v>
      </c>
      <c r="C13" s="7" t="s">
        <v>208</v>
      </c>
      <c r="D13" s="7" t="s">
        <v>414</v>
      </c>
      <c r="E13" s="7" t="s">
        <v>415</v>
      </c>
      <c r="F13" s="7" t="s">
        <v>416</v>
      </c>
      <c r="G13" s="7" t="s">
        <v>417</v>
      </c>
      <c r="H13" s="7" t="s">
        <v>418</v>
      </c>
      <c r="I13" s="7" t="s">
        <v>419</v>
      </c>
      <c r="J13" s="7" t="s">
        <v>69</v>
      </c>
      <c r="K13" s="7" t="s">
        <v>420</v>
      </c>
    </row>
    <row r="18" spans="5:5" x14ac:dyDescent="0.3">
      <c r="E18" s="112"/>
    </row>
  </sheetData>
  <mergeCells count="2">
    <mergeCell ref="C1:M1"/>
    <mergeCell ref="C2:M2"/>
  </mergeCells>
  <dataValidations count="2">
    <dataValidation type="list" allowBlank="1" errorTitle="Not in master" error="Value must be chosen from the master list." promptTitle="Master-driven list" prompt="Select from L_VendorCategory" sqref="C7:C500" xr:uid="{00000000-0002-0000-0400-000000000000}">
      <formula1>L_VendorCategory</formula1>
      <formula2>0</formula2>
    </dataValidation>
    <dataValidation type="list" allowBlank="1" errorTitle="Not in master" error="Value must be chosen from the master list." promptTitle="Master-driven list" prompt="Select from L_StatusActive" sqref="J7:J500" xr:uid="{00000000-0002-0000-0400-000001000000}">
      <formula1>L_StatusActive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56082"/>
  </sheetPr>
  <dimension ref="A1:H17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8.5546875" defaultRowHeight="14.4" x14ac:dyDescent="0.3"/>
  <cols>
    <col min="1" max="6" width="17" customWidth="1"/>
  </cols>
  <sheetData>
    <row r="1" spans="1:8" ht="21" customHeight="1" x14ac:dyDescent="0.3">
      <c r="A1" s="127" t="s">
        <v>956</v>
      </c>
      <c r="B1" s="127"/>
      <c r="C1" s="116" t="s">
        <v>1</v>
      </c>
      <c r="D1" s="116"/>
      <c r="E1" s="116"/>
      <c r="F1" s="116"/>
      <c r="G1" s="116"/>
      <c r="H1" s="116"/>
    </row>
    <row r="2" spans="1:8" ht="21" customHeight="1" x14ac:dyDescent="0.3">
      <c r="A2" s="2"/>
      <c r="C2" s="118" t="s">
        <v>455</v>
      </c>
      <c r="D2" s="118"/>
      <c r="E2" s="118"/>
      <c r="F2" s="118"/>
      <c r="G2" s="118"/>
      <c r="H2" s="118"/>
    </row>
    <row r="3" spans="1:8" ht="12" customHeight="1" x14ac:dyDescent="0.3"/>
    <row r="4" spans="1:8" ht="30" customHeight="1" x14ac:dyDescent="0.3">
      <c r="A4" s="5" t="s">
        <v>456</v>
      </c>
      <c r="B4" s="5" t="s">
        <v>457</v>
      </c>
      <c r="C4" s="5" t="s">
        <v>16</v>
      </c>
      <c r="D4" s="5" t="s">
        <v>17</v>
      </c>
      <c r="E4" s="5" t="s">
        <v>458</v>
      </c>
      <c r="F4" s="5" t="s">
        <v>266</v>
      </c>
    </row>
    <row r="5" spans="1:8" ht="14.25" customHeight="1" x14ac:dyDescent="0.3">
      <c r="A5" s="114" t="s">
        <v>277</v>
      </c>
      <c r="B5" s="113" t="s">
        <v>278</v>
      </c>
      <c r="C5" s="111" t="s">
        <v>279</v>
      </c>
      <c r="D5" s="111" t="s">
        <v>279</v>
      </c>
      <c r="E5" s="111" t="s">
        <v>279</v>
      </c>
      <c r="F5" s="111" t="s">
        <v>279</v>
      </c>
    </row>
    <row r="6" spans="1:8" ht="57" customHeight="1" x14ac:dyDescent="0.3">
      <c r="A6" s="8"/>
      <c r="B6" s="8"/>
      <c r="C6" s="10" t="s">
        <v>459</v>
      </c>
      <c r="D6" s="10" t="s">
        <v>460</v>
      </c>
      <c r="E6" s="8"/>
      <c r="F6" s="10" t="s">
        <v>280</v>
      </c>
    </row>
    <row r="7" spans="1:8" ht="14.25" customHeight="1" x14ac:dyDescent="0.3">
      <c r="A7" s="7" t="s">
        <v>461</v>
      </c>
      <c r="B7" s="7" t="s">
        <v>462</v>
      </c>
      <c r="C7" s="7" t="s">
        <v>64</v>
      </c>
      <c r="D7" s="7" t="s">
        <v>144</v>
      </c>
      <c r="E7" s="7" t="s">
        <v>463</v>
      </c>
      <c r="F7" s="7" t="s">
        <v>69</v>
      </c>
    </row>
    <row r="8" spans="1:8" ht="14.25" customHeight="1" x14ac:dyDescent="0.3">
      <c r="A8" s="7" t="s">
        <v>464</v>
      </c>
      <c r="B8" s="7" t="s">
        <v>407</v>
      </c>
      <c r="C8" s="7" t="s">
        <v>119</v>
      </c>
      <c r="D8" s="7" t="s">
        <v>144</v>
      </c>
      <c r="E8" s="7" t="s">
        <v>61</v>
      </c>
      <c r="F8" s="7" t="s">
        <v>69</v>
      </c>
    </row>
    <row r="9" spans="1:8" ht="14.25" customHeight="1" x14ac:dyDescent="0.3">
      <c r="A9" s="7" t="s">
        <v>465</v>
      </c>
      <c r="B9" s="7" t="s">
        <v>466</v>
      </c>
      <c r="C9" s="7" t="s">
        <v>119</v>
      </c>
      <c r="D9" s="7" t="s">
        <v>144</v>
      </c>
      <c r="E9" s="7" t="s">
        <v>98</v>
      </c>
      <c r="F9" s="7" t="s">
        <v>69</v>
      </c>
    </row>
    <row r="10" spans="1:8" ht="14.25" customHeight="1" x14ac:dyDescent="0.3">
      <c r="A10" s="7" t="s">
        <v>467</v>
      </c>
      <c r="B10" s="7" t="s">
        <v>468</v>
      </c>
      <c r="C10" s="7" t="s">
        <v>204</v>
      </c>
      <c r="D10" s="7" t="s">
        <v>60</v>
      </c>
      <c r="E10" s="7" t="s">
        <v>469</v>
      </c>
      <c r="F10" s="7" t="s">
        <v>69</v>
      </c>
    </row>
    <row r="11" spans="1:8" ht="14.25" customHeight="1" x14ac:dyDescent="0.3">
      <c r="A11" s="7" t="s">
        <v>470</v>
      </c>
      <c r="B11" s="7" t="s">
        <v>471</v>
      </c>
      <c r="C11" s="7" t="s">
        <v>204</v>
      </c>
      <c r="D11" s="7" t="s">
        <v>60</v>
      </c>
      <c r="E11" s="7" t="s">
        <v>469</v>
      </c>
      <c r="F11" s="7" t="s">
        <v>69</v>
      </c>
    </row>
    <row r="12" spans="1:8" ht="14.25" customHeight="1" x14ac:dyDescent="0.3">
      <c r="A12" s="7" t="s">
        <v>472</v>
      </c>
      <c r="B12" s="7" t="s">
        <v>473</v>
      </c>
      <c r="C12" s="7" t="s">
        <v>96</v>
      </c>
      <c r="D12" s="7" t="s">
        <v>205</v>
      </c>
      <c r="E12" s="7" t="s">
        <v>474</v>
      </c>
      <c r="F12" s="7" t="s">
        <v>69</v>
      </c>
    </row>
    <row r="13" spans="1:8" ht="14.25" customHeight="1" x14ac:dyDescent="0.3">
      <c r="A13" s="7" t="s">
        <v>475</v>
      </c>
      <c r="B13" s="7" t="s">
        <v>476</v>
      </c>
      <c r="C13" s="7" t="s">
        <v>216</v>
      </c>
      <c r="D13" s="7" t="s">
        <v>97</v>
      </c>
      <c r="E13" s="7" t="s">
        <v>477</v>
      </c>
      <c r="F13" s="7" t="s">
        <v>69</v>
      </c>
    </row>
    <row r="14" spans="1:8" ht="14.25" customHeight="1" x14ac:dyDescent="0.3">
      <c r="A14" s="7" t="s">
        <v>478</v>
      </c>
      <c r="B14" s="7" t="s">
        <v>479</v>
      </c>
      <c r="C14" s="7" t="s">
        <v>59</v>
      </c>
      <c r="D14" s="7" t="s">
        <v>185</v>
      </c>
      <c r="E14" s="7" t="s">
        <v>474</v>
      </c>
      <c r="F14" s="7" t="s">
        <v>69</v>
      </c>
    </row>
    <row r="15" spans="1:8" ht="14.25" customHeight="1" x14ac:dyDescent="0.3">
      <c r="A15" s="7" t="s">
        <v>480</v>
      </c>
      <c r="B15" s="7" t="s">
        <v>73</v>
      </c>
      <c r="C15" s="7" t="s">
        <v>59</v>
      </c>
      <c r="D15" s="7" t="s">
        <v>217</v>
      </c>
      <c r="E15" s="7" t="s">
        <v>474</v>
      </c>
      <c r="F15" s="7" t="s">
        <v>69</v>
      </c>
    </row>
    <row r="16" spans="1:8" ht="14.25" customHeight="1" x14ac:dyDescent="0.3">
      <c r="A16" s="7" t="s">
        <v>481</v>
      </c>
      <c r="B16" s="7" t="s">
        <v>482</v>
      </c>
      <c r="C16" s="7" t="s">
        <v>119</v>
      </c>
      <c r="D16" s="7" t="s">
        <v>144</v>
      </c>
      <c r="E16" s="7" t="s">
        <v>135</v>
      </c>
      <c r="F16" s="7" t="s">
        <v>69</v>
      </c>
    </row>
    <row r="17" spans="1:6" ht="14.25" customHeight="1" x14ac:dyDescent="0.3">
      <c r="A17" s="7" t="s">
        <v>483</v>
      </c>
      <c r="B17" s="7" t="s">
        <v>484</v>
      </c>
      <c r="C17" s="7" t="s">
        <v>119</v>
      </c>
      <c r="D17" s="7" t="s">
        <v>144</v>
      </c>
      <c r="E17" s="7" t="s">
        <v>161</v>
      </c>
      <c r="F17" s="7" t="s">
        <v>69</v>
      </c>
    </row>
  </sheetData>
  <mergeCells count="3">
    <mergeCell ref="C1:H1"/>
    <mergeCell ref="C2:H2"/>
    <mergeCell ref="A1:B1"/>
  </mergeCells>
  <dataValidations count="3">
    <dataValidation type="list" allowBlank="1" errorTitle="Not in master" error="Value must be chosen from the master list." promptTitle="Master-driven list" prompt="Select from L_Department" sqref="C7:C500" xr:uid="{00000000-0002-0000-0600-000000000000}">
      <formula1>L_Department</formula1>
      <formula2>0</formula2>
    </dataValidation>
    <dataValidation type="list" allowBlank="1" errorTitle="Not in master" error="Value must be chosen from the master list." promptTitle="Master-driven list" prompt="Select from L_Designation" sqref="D7:D500" xr:uid="{00000000-0002-0000-0600-000001000000}">
      <formula1>L_Designation</formula1>
      <formula2>0</formula2>
    </dataValidation>
    <dataValidation type="list" allowBlank="1" errorTitle="Not in master" error="Value must be chosen from the master list." promptTitle="Master-driven list" prompt="Select from L_StatusActive" sqref="F7:F500" xr:uid="{00000000-0002-0000-0600-000002000000}">
      <formula1>L_StatusActive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082"/>
  </sheetPr>
  <dimension ref="A1:M13"/>
  <sheetViews>
    <sheetView showGridLines="0" topLeftCell="B1" zoomScaleNormal="100" workbookViewId="0">
      <pane ySplit="4" topLeftCell="A5" activePane="bottomLeft" state="frozen"/>
      <selection pane="bottomLeft" activeCell="F24" sqref="F24"/>
    </sheetView>
  </sheetViews>
  <sheetFormatPr defaultColWidth="8.5546875" defaultRowHeight="14.4" x14ac:dyDescent="0.3"/>
  <cols>
    <col min="1" max="1" width="20" customWidth="1"/>
    <col min="2" max="2" width="31" customWidth="1"/>
    <col min="3" max="4" width="23" customWidth="1"/>
    <col min="5" max="5" width="19" customWidth="1"/>
    <col min="6" max="7" width="32" customWidth="1"/>
    <col min="8" max="9" width="14" customWidth="1"/>
    <col min="10" max="11" width="17.6640625" bestFit="1" customWidth="1"/>
  </cols>
  <sheetData>
    <row r="1" spans="1:13" ht="21" customHeight="1" x14ac:dyDescent="0.3">
      <c r="A1" s="4" t="s">
        <v>0</v>
      </c>
      <c r="B1" s="112"/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1" customHeight="1" x14ac:dyDescent="0.3">
      <c r="A2" s="2"/>
      <c r="C2" s="118" t="s">
        <v>421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 ht="12" customHeight="1" x14ac:dyDescent="0.3"/>
    <row r="4" spans="1:13" ht="30" customHeight="1" x14ac:dyDescent="0.3">
      <c r="A4" s="5" t="s">
        <v>422</v>
      </c>
      <c r="B4" s="5" t="s">
        <v>423</v>
      </c>
      <c r="C4" s="5" t="s">
        <v>424</v>
      </c>
      <c r="D4" s="5" t="s">
        <v>353</v>
      </c>
      <c r="E4" s="5" t="s">
        <v>425</v>
      </c>
      <c r="F4" s="5" t="s">
        <v>426</v>
      </c>
      <c r="G4" s="5" t="s">
        <v>427</v>
      </c>
      <c r="H4" s="5" t="s">
        <v>428</v>
      </c>
      <c r="I4" s="5" t="s">
        <v>266</v>
      </c>
      <c r="J4" s="5" t="s">
        <v>356</v>
      </c>
    </row>
    <row r="5" spans="1:13" ht="14.25" customHeight="1" x14ac:dyDescent="0.3">
      <c r="A5" s="113" t="s">
        <v>277</v>
      </c>
      <c r="B5" s="113" t="s">
        <v>278</v>
      </c>
      <c r="C5" s="111" t="s">
        <v>279</v>
      </c>
      <c r="D5" s="111" t="s">
        <v>279</v>
      </c>
      <c r="E5" s="111" t="s">
        <v>279</v>
      </c>
      <c r="F5" s="113" t="s">
        <v>278</v>
      </c>
      <c r="G5" s="113" t="s">
        <v>278</v>
      </c>
      <c r="H5" s="113" t="s">
        <v>278</v>
      </c>
      <c r="I5" s="111" t="s">
        <v>279</v>
      </c>
      <c r="J5" s="113" t="s">
        <v>357</v>
      </c>
    </row>
    <row r="6" spans="1:13" ht="28.5" customHeight="1" x14ac:dyDescent="0.3">
      <c r="A6" s="8"/>
      <c r="B6" s="8"/>
      <c r="C6" s="113" t="s">
        <v>429</v>
      </c>
      <c r="D6" s="10"/>
      <c r="E6" s="8"/>
      <c r="F6" s="10"/>
      <c r="G6" s="8"/>
      <c r="H6" s="8"/>
      <c r="I6" s="10"/>
      <c r="J6" s="8"/>
    </row>
    <row r="7" spans="1:13" ht="14.25" customHeight="1" x14ac:dyDescent="0.3">
      <c r="A7" s="7" t="s">
        <v>430</v>
      </c>
      <c r="B7" s="7" t="s">
        <v>431</v>
      </c>
      <c r="C7" s="7" t="s">
        <v>281</v>
      </c>
      <c r="D7" s="7" t="s">
        <v>71</v>
      </c>
      <c r="E7" s="7" t="s">
        <v>54</v>
      </c>
      <c r="F7" s="14">
        <v>0.85</v>
      </c>
      <c r="G7" s="7" t="s">
        <v>58</v>
      </c>
      <c r="H7" s="7" t="s">
        <v>432</v>
      </c>
      <c r="I7" s="7" t="s">
        <v>69</v>
      </c>
      <c r="J7" s="7" t="s">
        <v>433</v>
      </c>
    </row>
    <row r="8" spans="1:13" ht="14.25" customHeight="1" x14ac:dyDescent="0.3">
      <c r="A8" s="7" t="s">
        <v>434</v>
      </c>
      <c r="B8" s="7" t="s">
        <v>435</v>
      </c>
      <c r="C8" s="7" t="s">
        <v>281</v>
      </c>
      <c r="D8" s="7" t="s">
        <v>71</v>
      </c>
      <c r="E8" s="7" t="s">
        <v>54</v>
      </c>
      <c r="F8" s="14">
        <v>0.75</v>
      </c>
      <c r="G8" s="7" t="s">
        <v>58</v>
      </c>
      <c r="H8" s="7" t="s">
        <v>436</v>
      </c>
      <c r="I8" s="7" t="s">
        <v>69</v>
      </c>
      <c r="J8" s="7"/>
    </row>
    <row r="9" spans="1:13" ht="14.25" customHeight="1" x14ac:dyDescent="0.3">
      <c r="A9" s="7" t="s">
        <v>437</v>
      </c>
      <c r="B9" s="7" t="s">
        <v>438</v>
      </c>
      <c r="C9" s="7" t="s">
        <v>296</v>
      </c>
      <c r="D9" s="7" t="s">
        <v>191</v>
      </c>
      <c r="E9" s="7" t="s">
        <v>181</v>
      </c>
      <c r="F9" s="14">
        <v>1.1000000000000001</v>
      </c>
      <c r="G9" s="7" t="s">
        <v>160</v>
      </c>
      <c r="H9" s="7" t="s">
        <v>439</v>
      </c>
      <c r="I9" s="7" t="s">
        <v>69</v>
      </c>
      <c r="J9" s="7" t="s">
        <v>440</v>
      </c>
    </row>
    <row r="10" spans="1:13" ht="14.25" customHeight="1" x14ac:dyDescent="0.3">
      <c r="A10" s="7" t="s">
        <v>441</v>
      </c>
      <c r="B10" s="7" t="s">
        <v>442</v>
      </c>
      <c r="C10" s="7" t="s">
        <v>306</v>
      </c>
      <c r="D10" s="7" t="s">
        <v>140</v>
      </c>
      <c r="E10" s="7" t="s">
        <v>156</v>
      </c>
      <c r="F10" s="14">
        <v>0.3</v>
      </c>
      <c r="G10" s="7" t="s">
        <v>95</v>
      </c>
      <c r="H10" s="7" t="s">
        <v>443</v>
      </c>
      <c r="I10" s="7" t="s">
        <v>69</v>
      </c>
      <c r="J10" s="7" t="s">
        <v>444</v>
      </c>
    </row>
    <row r="11" spans="1:13" ht="14.25" customHeight="1" x14ac:dyDescent="0.3">
      <c r="A11" s="7" t="s">
        <v>445</v>
      </c>
      <c r="B11" s="7" t="s">
        <v>446</v>
      </c>
      <c r="C11" s="7" t="s">
        <v>306</v>
      </c>
      <c r="D11" s="7" t="s">
        <v>140</v>
      </c>
      <c r="E11" s="7" t="s">
        <v>156</v>
      </c>
      <c r="F11" s="14">
        <v>0.35</v>
      </c>
      <c r="G11" s="7" t="s">
        <v>95</v>
      </c>
      <c r="H11" s="7" t="s">
        <v>447</v>
      </c>
      <c r="I11" s="7" t="s">
        <v>69</v>
      </c>
      <c r="J11" s="7"/>
    </row>
    <row r="12" spans="1:13" ht="14.25" customHeight="1" x14ac:dyDescent="0.3">
      <c r="A12" s="7" t="s">
        <v>448</v>
      </c>
      <c r="B12" s="7" t="s">
        <v>449</v>
      </c>
      <c r="C12" s="7" t="s">
        <v>315</v>
      </c>
      <c r="D12" s="7" t="s">
        <v>71</v>
      </c>
      <c r="E12" s="7" t="s">
        <v>129</v>
      </c>
      <c r="F12" s="14">
        <v>0.9</v>
      </c>
      <c r="G12" s="7" t="s">
        <v>133</v>
      </c>
      <c r="H12" s="7" t="s">
        <v>450</v>
      </c>
      <c r="I12" s="7" t="s">
        <v>69</v>
      </c>
      <c r="J12" s="7" t="s">
        <v>451</v>
      </c>
    </row>
    <row r="13" spans="1:13" ht="14.25" customHeight="1" x14ac:dyDescent="0.3">
      <c r="A13" s="7" t="s">
        <v>452</v>
      </c>
      <c r="B13" s="7" t="s">
        <v>453</v>
      </c>
      <c r="C13" s="7" t="s">
        <v>323</v>
      </c>
      <c r="D13" s="7" t="s">
        <v>106</v>
      </c>
      <c r="E13" s="7" t="s">
        <v>91</v>
      </c>
      <c r="F13" s="14">
        <v>0.95</v>
      </c>
      <c r="G13" s="7" t="s">
        <v>58</v>
      </c>
      <c r="H13" s="7" t="s">
        <v>454</v>
      </c>
      <c r="I13" s="7" t="s">
        <v>69</v>
      </c>
      <c r="J13" s="7"/>
    </row>
  </sheetData>
  <mergeCells count="2">
    <mergeCell ref="C1:M1"/>
    <mergeCell ref="C2:M2"/>
  </mergeCells>
  <dataValidations count="5">
    <dataValidation type="list" allowBlank="1" errorTitle="Not in master" error="Value must be chosen from the master list." promptTitle="Master-driven list" prompt="Select from M_BuyerName" sqref="C7:C500" xr:uid="{00000000-0002-0000-0500-000000000000}">
      <formula1>M_BuyerName</formula1>
      <formula2>0</formula2>
    </dataValidation>
    <dataValidation type="list" allowBlank="1" errorTitle="Not in master" error="Value must be chosen from the master list." promptTitle="Master-driven list" prompt="Select from L_StyleCategory" sqref="D7:D500" xr:uid="{00000000-0002-0000-0500-000001000000}">
      <formula1>L_StyleCategory</formula1>
      <formula2>0</formula2>
    </dataValidation>
    <dataValidation type="list" allowBlank="1" errorTitle="Not in master" error="Value must be chosen from the master list." promptTitle="Master-driven list" prompt="Select from L_FabricContent" sqref="E7:E500" xr:uid="{00000000-0002-0000-0500-000002000000}">
      <formula1>L_FabricContent</formula1>
      <formula2>0</formula2>
    </dataValidation>
    <dataValidation type="list" allowBlank="1" errorTitle="Not in master" error="Value must be chosen from the master list." promptTitle="Master-driven list" prompt="Select from L_SizeGroup" sqref="H14:H500 G7:G13" xr:uid="{00000000-0002-0000-0500-000003000000}">
      <formula1>L_SizeGroup</formula1>
      <formula2>0</formula2>
    </dataValidation>
    <dataValidation type="list" allowBlank="1" errorTitle="Not in master" error="Value must be chosen from the master list." promptTitle="Master-driven list" prompt="Select from L_StatusActive" sqref="J14:J500 I7:I13" xr:uid="{00000000-0002-0000-0500-000004000000}">
      <formula1>L_StatusActive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13"/>
  <sheetViews>
    <sheetView topLeftCell="F1" zoomScale="99" zoomScaleNormal="99" workbookViewId="0">
      <pane ySplit="6" topLeftCell="A7" activePane="bottomLeft" state="frozen"/>
      <selection activeCell="C1" sqref="C1"/>
      <selection pane="bottomLeft" activeCell="P4" sqref="P4"/>
    </sheetView>
  </sheetViews>
  <sheetFormatPr defaultColWidth="8.5546875" defaultRowHeight="14.4" x14ac:dyDescent="0.3"/>
  <cols>
    <col min="1" max="1" width="13.5546875" customWidth="1"/>
    <col min="2" max="2" width="21" customWidth="1"/>
    <col min="3" max="3" width="31" customWidth="1"/>
    <col min="4" max="4" width="17" customWidth="1"/>
    <col min="5" max="5" width="22" customWidth="1"/>
    <col min="6" max="6" width="27" customWidth="1"/>
    <col min="7" max="7" width="21" customWidth="1"/>
    <col min="8" max="8" width="16" customWidth="1"/>
    <col min="9" max="10" width="13" customWidth="1"/>
    <col min="11" max="11" width="10.21875" customWidth="1"/>
    <col min="12" max="12" width="11" customWidth="1"/>
    <col min="13" max="13" width="12" customWidth="1"/>
    <col min="14" max="14" width="13" customWidth="1"/>
    <col min="15" max="16" width="26" customWidth="1"/>
  </cols>
  <sheetData>
    <row r="1" spans="1:16" ht="21" customHeight="1" x14ac:dyDescent="0.3">
      <c r="B1" s="4" t="s">
        <v>485</v>
      </c>
      <c r="C1" s="4"/>
      <c r="H1" s="159" t="s">
        <v>967</v>
      </c>
      <c r="I1" s="118"/>
      <c r="J1" s="118"/>
    </row>
    <row r="2" spans="1:16" ht="21" customHeight="1" x14ac:dyDescent="0.3">
      <c r="H2" s="118" t="s">
        <v>486</v>
      </c>
      <c r="I2" s="118"/>
      <c r="J2" s="118"/>
    </row>
    <row r="3" spans="1:16" ht="18" customHeight="1" x14ac:dyDescent="0.35">
      <c r="B3" s="15"/>
      <c r="H3" s="15"/>
      <c r="I3" s="15"/>
      <c r="J3" s="15"/>
    </row>
    <row r="4" spans="1:16" s="16" customFormat="1" ht="15" customHeight="1" x14ac:dyDescent="0.3">
      <c r="A4" s="5" t="s">
        <v>487</v>
      </c>
      <c r="B4" s="5" t="s">
        <v>488</v>
      </c>
      <c r="C4" s="5" t="s">
        <v>489</v>
      </c>
      <c r="D4" s="5" t="s">
        <v>424</v>
      </c>
      <c r="E4" s="5" t="s">
        <v>490</v>
      </c>
      <c r="F4" s="5" t="s">
        <v>491</v>
      </c>
      <c r="G4" s="5" t="s">
        <v>492</v>
      </c>
      <c r="H4" s="5" t="s">
        <v>493</v>
      </c>
      <c r="I4" s="5" t="s">
        <v>422</v>
      </c>
      <c r="J4" s="5" t="s">
        <v>494</v>
      </c>
      <c r="K4" s="5" t="s">
        <v>4</v>
      </c>
      <c r="L4" s="5" t="s">
        <v>275</v>
      </c>
      <c r="M4" s="5" t="s">
        <v>427</v>
      </c>
      <c r="N4" s="5" t="s">
        <v>266</v>
      </c>
      <c r="O4" s="5" t="s">
        <v>356</v>
      </c>
      <c r="P4" s="5" t="s">
        <v>495</v>
      </c>
    </row>
    <row r="5" spans="1:16" s="20" customFormat="1" ht="14.25" customHeight="1" x14ac:dyDescent="0.3">
      <c r="A5" s="17" t="s">
        <v>278</v>
      </c>
      <c r="B5" s="17" t="s">
        <v>277</v>
      </c>
      <c r="C5" s="18" t="s">
        <v>357</v>
      </c>
      <c r="D5" s="19" t="s">
        <v>279</v>
      </c>
      <c r="E5" s="145" t="s">
        <v>277</v>
      </c>
      <c r="F5" s="19" t="s">
        <v>279</v>
      </c>
      <c r="G5" s="18" t="s">
        <v>278</v>
      </c>
      <c r="H5" s="18" t="s">
        <v>278</v>
      </c>
      <c r="I5" s="19" t="s">
        <v>279</v>
      </c>
      <c r="J5" s="19" t="s">
        <v>279</v>
      </c>
      <c r="K5" s="19" t="s">
        <v>279</v>
      </c>
      <c r="L5" s="19" t="s">
        <v>279</v>
      </c>
      <c r="M5" s="18" t="s">
        <v>278</v>
      </c>
      <c r="N5" s="17" t="s">
        <v>277</v>
      </c>
      <c r="O5" s="18" t="s">
        <v>278</v>
      </c>
      <c r="P5" s="21" t="s">
        <v>496</v>
      </c>
    </row>
    <row r="6" spans="1:16" ht="14.25" customHeight="1" x14ac:dyDescent="0.3">
      <c r="D6" s="22"/>
      <c r="I6" s="22"/>
      <c r="K6" s="22"/>
      <c r="L6" s="22"/>
    </row>
    <row r="7" spans="1:16" ht="38.25" customHeight="1" x14ac:dyDescent="0.3">
      <c r="A7" s="23" t="s">
        <v>498</v>
      </c>
      <c r="B7" s="24">
        <v>46240</v>
      </c>
      <c r="C7" s="7" t="s">
        <v>431</v>
      </c>
      <c r="D7" s="7" t="s">
        <v>281</v>
      </c>
      <c r="E7" s="7" t="s">
        <v>499</v>
      </c>
      <c r="F7" s="7" t="s">
        <v>500</v>
      </c>
      <c r="G7" s="24">
        <v>46266</v>
      </c>
      <c r="H7" s="25">
        <v>5000</v>
      </c>
      <c r="I7" s="7" t="s">
        <v>430</v>
      </c>
      <c r="J7" s="7" t="s">
        <v>53</v>
      </c>
      <c r="K7" s="7" t="s">
        <v>47</v>
      </c>
      <c r="L7" s="7" t="s">
        <v>48</v>
      </c>
      <c r="M7" s="7" t="s">
        <v>58</v>
      </c>
      <c r="N7" s="7" t="s">
        <v>103</v>
      </c>
      <c r="O7" s="7" t="s">
        <v>501</v>
      </c>
      <c r="P7" s="26">
        <v>0.02</v>
      </c>
    </row>
    <row r="8" spans="1:16" ht="15" customHeight="1" x14ac:dyDescent="0.3">
      <c r="A8" s="7" t="s">
        <v>502</v>
      </c>
      <c r="B8" s="24">
        <v>46241</v>
      </c>
      <c r="C8" s="7" t="s">
        <v>435</v>
      </c>
      <c r="D8" s="27" t="s">
        <v>281</v>
      </c>
      <c r="E8" s="7" t="s">
        <v>499</v>
      </c>
      <c r="F8" s="7" t="s">
        <v>500</v>
      </c>
      <c r="G8" s="24">
        <v>46275</v>
      </c>
      <c r="H8" s="25">
        <v>7000</v>
      </c>
      <c r="I8" s="7" t="s">
        <v>434</v>
      </c>
      <c r="J8" s="7" t="s">
        <v>90</v>
      </c>
      <c r="K8" s="7" t="s">
        <v>47</v>
      </c>
      <c r="L8" s="7" t="s">
        <v>48</v>
      </c>
      <c r="M8" s="7" t="s">
        <v>58</v>
      </c>
      <c r="N8" s="7" t="s">
        <v>103</v>
      </c>
      <c r="O8" s="7"/>
      <c r="P8" s="26">
        <v>0.02</v>
      </c>
    </row>
    <row r="9" spans="1:16" ht="14.25" customHeight="1" x14ac:dyDescent="0.3">
      <c r="A9" s="7" t="s">
        <v>503</v>
      </c>
      <c r="B9" s="24">
        <v>46244</v>
      </c>
      <c r="C9" s="7" t="s">
        <v>438</v>
      </c>
      <c r="D9" s="7" t="s">
        <v>296</v>
      </c>
      <c r="E9" s="7" t="s">
        <v>504</v>
      </c>
      <c r="F9" s="7" t="s">
        <v>505</v>
      </c>
      <c r="G9" s="24">
        <v>46285</v>
      </c>
      <c r="H9" s="25">
        <v>4000</v>
      </c>
      <c r="I9" s="7" t="s">
        <v>437</v>
      </c>
      <c r="J9" s="7" t="s">
        <v>155</v>
      </c>
      <c r="K9" s="7" t="s">
        <v>122</v>
      </c>
      <c r="L9" s="7" t="s">
        <v>48</v>
      </c>
      <c r="M9" s="7" t="s">
        <v>160</v>
      </c>
      <c r="N9" s="7" t="s">
        <v>103</v>
      </c>
      <c r="O9" s="7" t="s">
        <v>506</v>
      </c>
      <c r="P9" s="26">
        <v>0.03</v>
      </c>
    </row>
    <row r="10" spans="1:16" ht="14.25" customHeight="1" x14ac:dyDescent="0.3">
      <c r="A10" s="7" t="s">
        <v>507</v>
      </c>
      <c r="B10" s="24">
        <v>46246</v>
      </c>
      <c r="C10" s="7" t="s">
        <v>442</v>
      </c>
      <c r="D10" s="7" t="s">
        <v>306</v>
      </c>
      <c r="E10" s="7" t="s">
        <v>508</v>
      </c>
      <c r="F10" s="7" t="s">
        <v>509</v>
      </c>
      <c r="G10" s="24">
        <v>46290</v>
      </c>
      <c r="H10" s="25">
        <v>10000</v>
      </c>
      <c r="I10" s="7" t="s">
        <v>441</v>
      </c>
      <c r="J10" s="7" t="s">
        <v>202</v>
      </c>
      <c r="K10" s="7" t="s">
        <v>84</v>
      </c>
      <c r="L10" s="7" t="s">
        <v>48</v>
      </c>
      <c r="M10" s="7" t="s">
        <v>95</v>
      </c>
      <c r="N10" s="7" t="s">
        <v>68</v>
      </c>
      <c r="O10" s="7"/>
      <c r="P10" s="26">
        <v>0.02</v>
      </c>
    </row>
    <row r="11" spans="1:16" ht="14.25" customHeight="1" x14ac:dyDescent="0.3">
      <c r="A11" s="7" t="s">
        <v>510</v>
      </c>
      <c r="B11" s="24">
        <v>46248</v>
      </c>
      <c r="C11" s="7" t="s">
        <v>449</v>
      </c>
      <c r="D11" s="7" t="s">
        <v>315</v>
      </c>
      <c r="E11" s="7" t="s">
        <v>511</v>
      </c>
      <c r="F11" s="7" t="s">
        <v>512</v>
      </c>
      <c r="G11" s="24">
        <v>46300</v>
      </c>
      <c r="H11" s="25">
        <v>6000</v>
      </c>
      <c r="I11" s="7" t="s">
        <v>448</v>
      </c>
      <c r="J11" s="7" t="s">
        <v>128</v>
      </c>
      <c r="K11" s="7" t="s">
        <v>47</v>
      </c>
      <c r="L11" s="7" t="s">
        <v>85</v>
      </c>
      <c r="M11" s="7" t="s">
        <v>133</v>
      </c>
      <c r="N11" s="7" t="s">
        <v>68</v>
      </c>
      <c r="O11" s="7" t="s">
        <v>451</v>
      </c>
      <c r="P11" s="26">
        <v>0.02</v>
      </c>
    </row>
    <row r="12" spans="1:16" ht="14.25" customHeight="1" x14ac:dyDescent="0.3">
      <c r="A12" s="7" t="s">
        <v>513</v>
      </c>
      <c r="B12" s="24">
        <v>46252</v>
      </c>
      <c r="C12" s="7" t="s">
        <v>453</v>
      </c>
      <c r="D12" s="7" t="s">
        <v>323</v>
      </c>
      <c r="E12" s="7" t="s">
        <v>514</v>
      </c>
      <c r="F12" s="7" t="s">
        <v>515</v>
      </c>
      <c r="G12" s="24">
        <v>46310</v>
      </c>
      <c r="H12" s="25">
        <v>3500</v>
      </c>
      <c r="I12" s="7" t="s">
        <v>452</v>
      </c>
      <c r="J12" s="7" t="s">
        <v>215</v>
      </c>
      <c r="K12" s="7" t="s">
        <v>84</v>
      </c>
      <c r="L12" s="7" t="s">
        <v>48</v>
      </c>
      <c r="M12" s="7" t="s">
        <v>58</v>
      </c>
      <c r="N12" s="7" t="s">
        <v>68</v>
      </c>
      <c r="O12" s="7"/>
      <c r="P12" s="26">
        <v>0.03</v>
      </c>
    </row>
    <row r="13" spans="1:16" ht="14.25" customHeight="1" x14ac:dyDescent="0.3">
      <c r="A13" s="7" t="s">
        <v>516</v>
      </c>
      <c r="B13" s="24">
        <v>46254</v>
      </c>
      <c r="C13" s="7" t="s">
        <v>446</v>
      </c>
      <c r="D13" s="7" t="s">
        <v>306</v>
      </c>
      <c r="E13" s="7" t="s">
        <v>508</v>
      </c>
      <c r="F13" s="7" t="s">
        <v>509</v>
      </c>
      <c r="G13" s="24">
        <v>46315</v>
      </c>
      <c r="H13" s="25">
        <v>8000</v>
      </c>
      <c r="I13" s="7" t="s">
        <v>445</v>
      </c>
      <c r="J13" s="7" t="s">
        <v>180</v>
      </c>
      <c r="K13" s="7" t="s">
        <v>84</v>
      </c>
      <c r="L13" s="7" t="s">
        <v>48</v>
      </c>
      <c r="M13" s="7" t="s">
        <v>95</v>
      </c>
      <c r="N13" s="7" t="s">
        <v>68</v>
      </c>
      <c r="O13" s="7"/>
      <c r="P13" s="26">
        <v>0.02</v>
      </c>
    </row>
  </sheetData>
  <mergeCells count="2">
    <mergeCell ref="H1:J1"/>
    <mergeCell ref="H2:J2"/>
  </mergeCells>
  <dataValidations count="7">
    <dataValidation type="list" allowBlank="1" errorTitle="Not in master" error="Value must be chosen from the master list." promptTitle="Master-driven list" prompt="Select from M_BuyerName" sqref="D7:D500" xr:uid="{00000000-0002-0000-0700-000000000000}">
      <formula1>M_BuyerName</formula1>
      <formula2>0</formula2>
    </dataValidation>
    <dataValidation type="list" allowBlank="1" errorTitle="Not in master" error="Value must be chosen from the master list." promptTitle="Master-driven list" prompt="Select from M_StyleNo" sqref="I7:I500" xr:uid="{00000000-0002-0000-07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ColorCode" sqref="J7:J500" xr:uid="{00000000-0002-0000-0700-000002000000}">
      <formula1>L_ColorCode</formula1>
      <formula2>0</formula2>
    </dataValidation>
    <dataValidation type="list" allowBlank="1" errorTitle="Not in master" error="Value must be chosen from the master list." promptTitle="Master-driven list" prompt="Select from L_Currency" sqref="K7:K500" xr:uid="{00000000-0002-0000-0700-000003000000}">
      <formula1>L_Currency</formula1>
      <formula2>0</formula2>
    </dataValidation>
    <dataValidation type="list" allowBlank="1" errorTitle="Not in master" error="Value must be chosen from the master list." promptTitle="Master-driven list" prompt="Select from L_ShipMode" sqref="L7:L500" xr:uid="{00000000-0002-0000-0700-000004000000}">
      <formula1>L_ShipMode</formula1>
      <formula2>0</formula2>
    </dataValidation>
    <dataValidation type="list" allowBlank="1" errorTitle="Not in master" error="Value must be chosen from the master list." promptTitle="Master-driven list" prompt="Select from L_SizeGroup" sqref="M7:M500" xr:uid="{00000000-0002-0000-0700-000005000000}">
      <formula1>L_SizeGroup</formula1>
      <formula2>0</formula2>
    </dataValidation>
    <dataValidation type="list" allowBlank="1" errorTitle="Not in master" error="Value must be chosen from the master list." promptTitle="Master-driven list" prompt="Select from L_StatusGeneral" sqref="N7:N500" xr:uid="{00000000-0002-0000-0700-000006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6A83-A3F3-4DEB-846D-654D5DD79000}">
  <sheetPr>
    <tabColor rgb="FF00B050"/>
  </sheetPr>
  <dimension ref="A1:I11"/>
  <sheetViews>
    <sheetView topLeftCell="A2" zoomScale="158" workbookViewId="0">
      <selection activeCell="F7" sqref="F7"/>
    </sheetView>
  </sheetViews>
  <sheetFormatPr defaultRowHeight="14.4" x14ac:dyDescent="0.3"/>
  <cols>
    <col min="2" max="2" width="13.77734375" bestFit="1" customWidth="1"/>
    <col min="6" max="6" width="13.77734375" bestFit="1" customWidth="1"/>
  </cols>
  <sheetData>
    <row r="1" spans="1:9" ht="21" x14ac:dyDescent="0.3">
      <c r="A1" s="22" t="s">
        <v>517</v>
      </c>
      <c r="F1" s="116" t="s">
        <v>960</v>
      </c>
      <c r="G1" s="116"/>
      <c r="H1" s="116"/>
    </row>
    <row r="2" spans="1:9" ht="15.6" x14ac:dyDescent="0.3">
      <c r="E2" s="118" t="s">
        <v>961</v>
      </c>
      <c r="F2" s="118"/>
      <c r="G2" s="118"/>
      <c r="H2" s="118"/>
      <c r="I2" s="118"/>
    </row>
    <row r="3" spans="1:9" x14ac:dyDescent="0.3">
      <c r="E3" s="1"/>
      <c r="F3" s="1"/>
      <c r="G3" s="1"/>
      <c r="H3" s="1"/>
      <c r="I3" s="1"/>
    </row>
    <row r="4" spans="1:9" ht="15.6" x14ac:dyDescent="0.3">
      <c r="C4" s="148" t="s">
        <v>962</v>
      </c>
      <c r="D4" s="148"/>
      <c r="E4" s="148"/>
      <c r="F4" s="29" t="s">
        <v>279</v>
      </c>
    </row>
    <row r="5" spans="1:9" ht="15.6" x14ac:dyDescent="0.3">
      <c r="C5" s="148" t="s">
        <v>518</v>
      </c>
      <c r="D5" s="148"/>
      <c r="E5" s="148"/>
      <c r="F5" s="30" t="s">
        <v>278</v>
      </c>
    </row>
    <row r="6" spans="1:9" ht="15.6" x14ac:dyDescent="0.3">
      <c r="C6" s="148" t="s">
        <v>487</v>
      </c>
      <c r="D6" s="148"/>
      <c r="E6" s="148"/>
      <c r="F6" s="29" t="s">
        <v>279</v>
      </c>
    </row>
    <row r="7" spans="1:9" x14ac:dyDescent="0.3">
      <c r="C7" s="149" t="s">
        <v>422</v>
      </c>
      <c r="D7" s="149"/>
      <c r="E7" s="149"/>
      <c r="F7" s="8" t="s">
        <v>963</v>
      </c>
    </row>
    <row r="8" spans="1:9" x14ac:dyDescent="0.3">
      <c r="C8" s="149" t="s">
        <v>493</v>
      </c>
      <c r="D8" s="149"/>
      <c r="E8" s="149"/>
      <c r="F8" s="8">
        <v>10000</v>
      </c>
    </row>
    <row r="9" spans="1:9" x14ac:dyDescent="0.3">
      <c r="C9" s="20"/>
      <c r="D9" s="20"/>
      <c r="E9" s="20"/>
    </row>
    <row r="11" spans="1:9" x14ac:dyDescent="0.3">
      <c r="A11" s="8" t="s">
        <v>519</v>
      </c>
      <c r="B11" s="8" t="s">
        <v>520</v>
      </c>
      <c r="C11" s="8" t="s">
        <v>964</v>
      </c>
      <c r="D11" s="8" t="s">
        <v>521</v>
      </c>
    </row>
  </sheetData>
  <mergeCells count="7">
    <mergeCell ref="C8:E8"/>
    <mergeCell ref="F1:H1"/>
    <mergeCell ref="E2:I2"/>
    <mergeCell ref="C4:E4"/>
    <mergeCell ref="C5:E5"/>
    <mergeCell ref="C6:E6"/>
    <mergeCell ref="C7:E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K13"/>
  <sheetViews>
    <sheetView zoomScale="135" zoomScaleNormal="100" workbookViewId="0">
      <pane ySplit="6" topLeftCell="A7" activePane="bottomLeft" state="frozen"/>
      <selection pane="bottomLeft" activeCell="D18" sqref="D18"/>
    </sheetView>
  </sheetViews>
  <sheetFormatPr defaultColWidth="8.5546875" defaultRowHeight="14.4" x14ac:dyDescent="0.3"/>
  <cols>
    <col min="1" max="1" width="13" customWidth="1"/>
    <col min="2" max="2" width="21" customWidth="1"/>
    <col min="3" max="3" width="12.44140625" customWidth="1"/>
    <col min="4" max="5" width="21" customWidth="1"/>
    <col min="6" max="6" width="16" customWidth="1"/>
    <col min="7" max="8" width="13" customWidth="1"/>
    <col min="9" max="9" width="26" customWidth="1"/>
  </cols>
  <sheetData>
    <row r="1" spans="1:11" ht="23.25" customHeight="1" x14ac:dyDescent="0.3">
      <c r="A1" s="22" t="s">
        <v>517</v>
      </c>
      <c r="F1" s="116" t="s">
        <v>1</v>
      </c>
      <c r="G1" s="116"/>
      <c r="K1" s="28"/>
    </row>
    <row r="2" spans="1:11" ht="14.25" customHeight="1" x14ac:dyDescent="0.3">
      <c r="F2" s="117"/>
      <c r="G2" s="117"/>
      <c r="H2" s="117"/>
    </row>
    <row r="3" spans="1:11" ht="18" customHeight="1" x14ac:dyDescent="0.35">
      <c r="B3" s="31"/>
      <c r="C3" s="31"/>
      <c r="D3" s="31"/>
      <c r="E3" s="31"/>
      <c r="G3" s="31"/>
      <c r="H3" s="15"/>
    </row>
    <row r="4" spans="1:11" ht="15" customHeight="1" x14ac:dyDescent="0.3">
      <c r="A4" s="5" t="s">
        <v>487</v>
      </c>
      <c r="B4" s="5" t="s">
        <v>519</v>
      </c>
      <c r="C4" s="5" t="s">
        <v>493</v>
      </c>
      <c r="D4" s="32" t="s">
        <v>522</v>
      </c>
      <c r="E4" s="150" t="s">
        <v>965</v>
      </c>
      <c r="F4" s="5" t="s">
        <v>518</v>
      </c>
      <c r="G4" s="5" t="s">
        <v>422</v>
      </c>
      <c r="H4" s="5" t="s">
        <v>266</v>
      </c>
      <c r="I4" s="5" t="s">
        <v>356</v>
      </c>
    </row>
    <row r="5" spans="1:11" s="20" customFormat="1" ht="14.25" customHeight="1" x14ac:dyDescent="0.3">
      <c r="A5" s="19" t="s">
        <v>279</v>
      </c>
      <c r="B5" s="17" t="s">
        <v>277</v>
      </c>
      <c r="C5" s="17" t="s">
        <v>277</v>
      </c>
      <c r="D5" s="19" t="s">
        <v>279</v>
      </c>
      <c r="E5" s="151" t="s">
        <v>278</v>
      </c>
      <c r="F5" s="19" t="s">
        <v>279</v>
      </c>
      <c r="G5" s="19" t="s">
        <v>279</v>
      </c>
      <c r="H5" s="145" t="s">
        <v>277</v>
      </c>
      <c r="I5" s="18" t="s">
        <v>357</v>
      </c>
    </row>
    <row r="6" spans="1:11" ht="14.25" customHeight="1" x14ac:dyDescent="0.3">
      <c r="D6" s="22"/>
      <c r="E6" s="22"/>
    </row>
    <row r="7" spans="1:11" ht="14.25" customHeight="1" x14ac:dyDescent="0.3">
      <c r="A7" s="7" t="s">
        <v>498</v>
      </c>
      <c r="B7" s="24">
        <v>46246</v>
      </c>
      <c r="C7" s="25">
        <v>5000</v>
      </c>
      <c r="D7" s="7" t="s">
        <v>61</v>
      </c>
      <c r="E7" s="7">
        <v>212</v>
      </c>
      <c r="F7" s="7" t="s">
        <v>62</v>
      </c>
      <c r="G7" s="7" t="s">
        <v>430</v>
      </c>
      <c r="H7" s="7" t="s">
        <v>139</v>
      </c>
      <c r="I7" s="7" t="s">
        <v>523</v>
      </c>
    </row>
    <row r="8" spans="1:11" ht="14.25" customHeight="1" x14ac:dyDescent="0.3">
      <c r="A8" s="7" t="s">
        <v>498</v>
      </c>
      <c r="B8" s="24">
        <v>46251</v>
      </c>
      <c r="C8" s="25">
        <v>5000</v>
      </c>
      <c r="D8" s="7" t="s">
        <v>61</v>
      </c>
      <c r="E8" s="7">
        <v>246</v>
      </c>
      <c r="F8" s="7" t="s">
        <v>62</v>
      </c>
      <c r="G8" s="7" t="s">
        <v>430</v>
      </c>
      <c r="H8" s="7" t="s">
        <v>103</v>
      </c>
      <c r="I8" s="7" t="s">
        <v>524</v>
      </c>
    </row>
    <row r="9" spans="1:11" ht="14.25" customHeight="1" x14ac:dyDescent="0.3">
      <c r="A9" s="7" t="s">
        <v>502</v>
      </c>
      <c r="B9" s="24">
        <v>46250</v>
      </c>
      <c r="C9" s="25">
        <v>7000</v>
      </c>
      <c r="D9" s="7" t="s">
        <v>98</v>
      </c>
      <c r="E9" s="7"/>
      <c r="F9" s="7" t="s">
        <v>99</v>
      </c>
      <c r="G9" s="7" t="s">
        <v>434</v>
      </c>
      <c r="H9" s="7" t="s">
        <v>139</v>
      </c>
      <c r="I9" s="7"/>
    </row>
    <row r="10" spans="1:11" ht="14.25" customHeight="1" x14ac:dyDescent="0.3">
      <c r="A10" s="7" t="s">
        <v>502</v>
      </c>
      <c r="B10" s="24">
        <v>46254</v>
      </c>
      <c r="C10" s="25">
        <v>7000</v>
      </c>
      <c r="D10" s="7" t="s">
        <v>98</v>
      </c>
      <c r="E10" s="7"/>
      <c r="F10" s="7" t="s">
        <v>99</v>
      </c>
      <c r="G10" s="7" t="s">
        <v>434</v>
      </c>
      <c r="H10" s="7" t="s">
        <v>103</v>
      </c>
      <c r="I10" s="7"/>
    </row>
    <row r="11" spans="1:11" ht="14.25" customHeight="1" x14ac:dyDescent="0.3">
      <c r="A11" s="7" t="s">
        <v>503</v>
      </c>
      <c r="B11" s="24">
        <v>46252</v>
      </c>
      <c r="C11" s="25">
        <v>4000</v>
      </c>
      <c r="D11" s="7" t="s">
        <v>135</v>
      </c>
      <c r="E11" s="7"/>
      <c r="F11" s="7" t="s">
        <v>136</v>
      </c>
      <c r="G11" s="7" t="s">
        <v>437</v>
      </c>
      <c r="H11" s="7" t="s">
        <v>103</v>
      </c>
      <c r="I11" s="7" t="s">
        <v>525</v>
      </c>
    </row>
    <row r="12" spans="1:11" ht="28.5" customHeight="1" x14ac:dyDescent="0.3">
      <c r="A12" s="7" t="s">
        <v>507</v>
      </c>
      <c r="B12" s="24">
        <v>46256</v>
      </c>
      <c r="C12" s="25">
        <v>10000</v>
      </c>
      <c r="D12" s="33" t="s">
        <v>161</v>
      </c>
      <c r="E12" s="33"/>
      <c r="F12" s="7" t="s">
        <v>162</v>
      </c>
      <c r="G12" s="7" t="s">
        <v>441</v>
      </c>
      <c r="H12" s="7" t="s">
        <v>68</v>
      </c>
      <c r="I12" s="7" t="s">
        <v>526</v>
      </c>
    </row>
    <row r="13" spans="1:11" ht="14.25" customHeight="1" x14ac:dyDescent="0.3">
      <c r="A13" s="7" t="s">
        <v>510</v>
      </c>
      <c r="B13" s="24">
        <v>46259</v>
      </c>
      <c r="C13" s="25">
        <v>6000</v>
      </c>
      <c r="D13" s="7" t="s">
        <v>61</v>
      </c>
      <c r="E13" s="7"/>
      <c r="F13" s="7" t="s">
        <v>186</v>
      </c>
      <c r="G13" s="7" t="s">
        <v>448</v>
      </c>
      <c r="H13" s="7" t="s">
        <v>68</v>
      </c>
      <c r="I13" s="7" t="s">
        <v>527</v>
      </c>
    </row>
  </sheetData>
  <mergeCells count="2">
    <mergeCell ref="F1:G1"/>
    <mergeCell ref="F2:H2"/>
  </mergeCells>
  <dataValidations count="5">
    <dataValidation type="list" allowBlank="1" errorTitle="Not in master" error="Value must be chosen from the master list." promptTitle="Master-driven list" prompt="Select from M_OrderNo" sqref="A7:A500" xr:uid="{00000000-0002-0000-09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L_StitchingUnit" sqref="D7:E500" xr:uid="{00000000-0002-0000-0900-000001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L_ContainerNo" sqref="F7:F500" xr:uid="{00000000-0002-0000-0900-000002000000}">
      <formula1>L_ContainerNo</formula1>
      <formula2>0</formula2>
    </dataValidation>
    <dataValidation type="list" allowBlank="1" errorTitle="Not in master" error="Value must be chosen from the master list." promptTitle="Master-driven list" prompt="Select from M_StyleNo" sqref="G7:G500" xr:uid="{00000000-0002-0000-0900-000003000000}">
      <formula1>M_StyleNo</formula1>
      <formula2>0</formula2>
    </dataValidation>
    <dataValidation type="list" allowBlank="1" errorTitle="Not in master" error="Value must be chosen from the master list." promptTitle="Master-driven list" prompt="Select from L_StatusGeneral" sqref="H7:H500" xr:uid="{00000000-0002-0000-0900-000005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N13"/>
  <sheetViews>
    <sheetView showGridLines="0" zoomScaleNormal="100" workbookViewId="0">
      <pane ySplit="6" topLeftCell="A7" activePane="bottomLeft" state="frozen"/>
      <selection pane="bottomLeft" activeCell="H13" sqref="H13"/>
    </sheetView>
  </sheetViews>
  <sheetFormatPr defaultColWidth="8.5546875" defaultRowHeight="14.4" x14ac:dyDescent="0.3"/>
  <cols>
    <col min="1" max="8" width="32" customWidth="1"/>
    <col min="9" max="9" width="21" customWidth="1"/>
    <col min="10" max="11" width="27" customWidth="1"/>
    <col min="12" max="12" width="14" customWidth="1"/>
  </cols>
  <sheetData>
    <row r="1" spans="1:14" ht="21" customHeight="1" x14ac:dyDescent="0.3">
      <c r="A1" s="4" t="s">
        <v>528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 ht="21" customHeight="1" x14ac:dyDescent="0.3">
      <c r="A2" s="2"/>
      <c r="C2" s="128" t="s">
        <v>529</v>
      </c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</row>
    <row r="3" spans="1:14" ht="12" customHeight="1" x14ac:dyDescent="0.3"/>
    <row r="4" spans="1:14" ht="30" customHeight="1" x14ac:dyDescent="0.3">
      <c r="A4" s="5" t="s">
        <v>530</v>
      </c>
      <c r="B4" s="5" t="s">
        <v>519</v>
      </c>
      <c r="C4" s="5" t="s">
        <v>531</v>
      </c>
      <c r="D4" s="5" t="s">
        <v>352</v>
      </c>
      <c r="E4" s="5" t="s">
        <v>532</v>
      </c>
      <c r="F4" s="5" t="s">
        <v>6</v>
      </c>
      <c r="G4" s="5" t="s">
        <v>533</v>
      </c>
      <c r="H4" s="5" t="s">
        <v>534</v>
      </c>
      <c r="I4" s="5" t="s">
        <v>535</v>
      </c>
      <c r="J4" s="5" t="s">
        <v>536</v>
      </c>
      <c r="K4" s="5" t="s">
        <v>356</v>
      </c>
    </row>
    <row r="5" spans="1:14" ht="14.25" customHeight="1" x14ac:dyDescent="0.3">
      <c r="A5" s="34" t="s">
        <v>277</v>
      </c>
      <c r="B5" s="34" t="s">
        <v>277</v>
      </c>
      <c r="C5" s="12" t="s">
        <v>279</v>
      </c>
      <c r="D5" s="12" t="s">
        <v>279</v>
      </c>
      <c r="E5" s="11" t="s">
        <v>278</v>
      </c>
      <c r="F5" s="12" t="s">
        <v>279</v>
      </c>
      <c r="G5" s="11" t="s">
        <v>278</v>
      </c>
      <c r="H5" s="34" t="s">
        <v>537</v>
      </c>
      <c r="I5" s="87" t="s">
        <v>277</v>
      </c>
      <c r="J5" s="12" t="s">
        <v>279</v>
      </c>
      <c r="K5" s="11" t="s">
        <v>357</v>
      </c>
    </row>
    <row r="6" spans="1:14" ht="28.5" customHeight="1" x14ac:dyDescent="0.3">
      <c r="C6" s="35"/>
      <c r="D6" s="35"/>
      <c r="H6" s="35" t="s">
        <v>538</v>
      </c>
      <c r="I6" s="36"/>
      <c r="J6" s="35"/>
    </row>
    <row r="7" spans="1:14" ht="14.25" customHeight="1" x14ac:dyDescent="0.3">
      <c r="A7" s="7" t="s">
        <v>540</v>
      </c>
      <c r="B7" s="24">
        <v>46238</v>
      </c>
      <c r="C7" s="7" t="s">
        <v>50</v>
      </c>
      <c r="D7" s="7" t="s">
        <v>359</v>
      </c>
      <c r="E7" s="14">
        <v>178</v>
      </c>
      <c r="F7" s="7" t="s">
        <v>49</v>
      </c>
      <c r="G7" s="14">
        <v>4500</v>
      </c>
      <c r="H7" s="37">
        <f t="shared" ref="H7:H13" si="0">E7*G7</f>
        <v>801000</v>
      </c>
      <c r="I7" s="7" t="s">
        <v>73</v>
      </c>
      <c r="J7" s="7" t="s">
        <v>70</v>
      </c>
      <c r="K7" s="7" t="s">
        <v>541</v>
      </c>
    </row>
    <row r="8" spans="1:14" ht="14.25" customHeight="1" x14ac:dyDescent="0.3">
      <c r="A8" s="7" t="s">
        <v>542</v>
      </c>
      <c r="B8" s="24">
        <v>46238</v>
      </c>
      <c r="C8" s="7" t="s">
        <v>50</v>
      </c>
      <c r="D8" s="7" t="s">
        <v>377</v>
      </c>
      <c r="E8" s="14">
        <v>186</v>
      </c>
      <c r="F8" s="7" t="s">
        <v>49</v>
      </c>
      <c r="G8" s="14">
        <v>4500</v>
      </c>
      <c r="H8" s="37">
        <f t="shared" si="0"/>
        <v>837000</v>
      </c>
      <c r="I8" s="7" t="s">
        <v>73</v>
      </c>
      <c r="J8" s="7" t="s">
        <v>105</v>
      </c>
      <c r="K8" s="7" t="s">
        <v>543</v>
      </c>
    </row>
    <row r="9" spans="1:14" ht="14.25" customHeight="1" x14ac:dyDescent="0.3">
      <c r="A9" s="7" t="s">
        <v>544</v>
      </c>
      <c r="B9" s="24">
        <v>46239</v>
      </c>
      <c r="C9" s="7" t="s">
        <v>87</v>
      </c>
      <c r="D9" s="7" t="s">
        <v>368</v>
      </c>
      <c r="E9" s="14">
        <v>12</v>
      </c>
      <c r="F9" s="7" t="s">
        <v>124</v>
      </c>
      <c r="G9" s="14">
        <v>9000</v>
      </c>
      <c r="H9" s="37">
        <f t="shared" si="0"/>
        <v>108000</v>
      </c>
      <c r="I9" s="7" t="s">
        <v>73</v>
      </c>
      <c r="J9" s="7" t="s">
        <v>70</v>
      </c>
      <c r="K9" s="7" t="s">
        <v>545</v>
      </c>
    </row>
    <row r="10" spans="1:14" ht="14.25" customHeight="1" x14ac:dyDescent="0.3">
      <c r="A10" s="7" t="s">
        <v>546</v>
      </c>
      <c r="B10" s="24">
        <v>46242</v>
      </c>
      <c r="C10" s="7" t="s">
        <v>50</v>
      </c>
      <c r="D10" s="7" t="s">
        <v>359</v>
      </c>
      <c r="E10" s="14">
        <v>182</v>
      </c>
      <c r="F10" s="7" t="s">
        <v>49</v>
      </c>
      <c r="G10" s="14">
        <v>6200</v>
      </c>
      <c r="H10" s="37">
        <f t="shared" si="0"/>
        <v>1128400</v>
      </c>
      <c r="I10" s="7" t="s">
        <v>73</v>
      </c>
      <c r="J10" s="7" t="s">
        <v>70</v>
      </c>
      <c r="K10" s="7" t="s">
        <v>547</v>
      </c>
    </row>
    <row r="11" spans="1:14" ht="14.25" customHeight="1" x14ac:dyDescent="0.3">
      <c r="A11" s="7" t="s">
        <v>548</v>
      </c>
      <c r="B11" s="24">
        <v>46243</v>
      </c>
      <c r="C11" s="7" t="s">
        <v>87</v>
      </c>
      <c r="D11" s="7" t="s">
        <v>368</v>
      </c>
      <c r="E11" s="14">
        <v>4</v>
      </c>
      <c r="F11" s="7" t="s">
        <v>124</v>
      </c>
      <c r="G11" s="14">
        <v>12000</v>
      </c>
      <c r="H11" s="37">
        <f t="shared" si="0"/>
        <v>48000</v>
      </c>
      <c r="I11" s="7" t="s">
        <v>73</v>
      </c>
      <c r="J11" s="7" t="s">
        <v>68</v>
      </c>
      <c r="K11" s="7" t="s">
        <v>549</v>
      </c>
    </row>
    <row r="12" spans="1:14" ht="14.25" customHeight="1" x14ac:dyDescent="0.3">
      <c r="A12" s="7" t="s">
        <v>550</v>
      </c>
      <c r="B12" s="24">
        <v>46245</v>
      </c>
      <c r="C12" s="7" t="s">
        <v>50</v>
      </c>
      <c r="D12" s="7" t="s">
        <v>359</v>
      </c>
      <c r="E12" s="14">
        <v>165</v>
      </c>
      <c r="F12" s="7" t="s">
        <v>49</v>
      </c>
      <c r="G12" s="14">
        <v>3400</v>
      </c>
      <c r="H12" s="37">
        <f t="shared" si="0"/>
        <v>561000</v>
      </c>
      <c r="I12" s="7" t="s">
        <v>73</v>
      </c>
      <c r="J12" s="7" t="s">
        <v>70</v>
      </c>
      <c r="K12" s="7" t="s">
        <v>551</v>
      </c>
    </row>
    <row r="13" spans="1:14" ht="14.25" customHeight="1" x14ac:dyDescent="0.3">
      <c r="A13" s="7" t="s">
        <v>552</v>
      </c>
      <c r="B13" s="24">
        <v>46247</v>
      </c>
      <c r="C13" s="7" t="s">
        <v>177</v>
      </c>
      <c r="D13" s="7" t="s">
        <v>368</v>
      </c>
      <c r="E13" s="14">
        <v>3</v>
      </c>
      <c r="F13" s="7" t="s">
        <v>124</v>
      </c>
      <c r="G13" s="14">
        <v>20000</v>
      </c>
      <c r="H13" s="37">
        <f t="shared" si="0"/>
        <v>60000</v>
      </c>
      <c r="I13" s="7" t="s">
        <v>73</v>
      </c>
      <c r="J13" s="7" t="s">
        <v>70</v>
      </c>
      <c r="K13" s="7" t="s">
        <v>553</v>
      </c>
    </row>
  </sheetData>
  <mergeCells count="2">
    <mergeCell ref="C1:N1"/>
    <mergeCell ref="C2:N2"/>
  </mergeCells>
  <dataValidations count="5">
    <dataValidation type="list" allowBlank="1" errorTitle="Not in master" error="Value must be chosen from the master list." promptTitle="Master-driven list" prompt="Select from L_ItemCategory" sqref="C7:C500" xr:uid="{00000000-0002-0000-0A00-000000000000}">
      <formula1>L_ItemCategory</formula1>
      <formula2>0</formula2>
    </dataValidation>
    <dataValidation type="list" allowBlank="1" errorTitle="Not in master" error="Value must be chosen from the master list." promptTitle="Master-driven list" prompt="Select from M_VendorName" sqref="D7:D500" xr:uid="{00000000-0002-0000-0A00-000001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F7:F500" xr:uid="{00000000-0002-0000-0A00-000002000000}">
      <formula1>L_UOM</formula1>
      <formula2>0</formula2>
    </dataValidation>
    <dataValidation type="list" allowBlank="1" errorTitle="Not in master" error="Value must be chosen from the master list." promptTitle="Master-driven list" prompt="Select from L_AuthorisedBy" sqref="I7:I500" xr:uid="{00000000-0002-0000-0A00-000003000000}">
      <formula1>L_AuthorisedBy</formula1>
      <formula2>0</formula2>
    </dataValidation>
    <dataValidation type="list" allowBlank="1" errorTitle="Not in master" error="Value must be chosen from the master list." promptTitle="Master-driven list" prompt="Select from L_StatusApproval" sqref="J7:J500" xr:uid="{00000000-0002-0000-0A00-000004000000}">
      <formula1>L_StatusApproval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U13"/>
  <sheetViews>
    <sheetView zoomScale="125" zoomScaleNormal="100" workbookViewId="0">
      <pane ySplit="6" topLeftCell="A7" activePane="bottomLeft" state="frozen"/>
      <selection activeCell="D1" sqref="D1"/>
      <selection pane="bottomLeft" activeCell="J9" sqref="J9"/>
    </sheetView>
  </sheetViews>
  <sheetFormatPr defaultColWidth="8.5546875" defaultRowHeight="14.4" x14ac:dyDescent="0.3"/>
  <cols>
    <col min="1" max="2" width="21" customWidth="1"/>
    <col min="3" max="3" width="13" customWidth="1"/>
    <col min="4" max="4" width="16" customWidth="1"/>
    <col min="5" max="5" width="32" customWidth="1"/>
    <col min="6" max="6" width="16" customWidth="1"/>
    <col min="7" max="7" width="19" customWidth="1"/>
    <col min="8" max="8" width="21" customWidth="1"/>
    <col min="9" max="9" width="10" customWidth="1"/>
    <col min="10" max="10" width="11" customWidth="1"/>
    <col min="11" max="11" width="9" customWidth="1"/>
    <col min="12" max="12" width="11.6640625" customWidth="1"/>
    <col min="13" max="13" width="10.21875" customWidth="1"/>
    <col min="14" max="14" width="10" customWidth="1"/>
    <col min="15" max="15" width="19" customWidth="1"/>
    <col min="16" max="16" width="13" customWidth="1"/>
    <col min="17" max="17" width="9" customWidth="1"/>
    <col min="18" max="18" width="13" customWidth="1"/>
    <col min="19" max="19" width="30" customWidth="1"/>
  </cols>
  <sheetData>
    <row r="1" spans="1:21" ht="21" customHeight="1" x14ac:dyDescent="0.3">
      <c r="A1" s="22" t="s">
        <v>554</v>
      </c>
      <c r="G1" s="116" t="s">
        <v>1</v>
      </c>
      <c r="H1" s="116"/>
      <c r="I1" s="116"/>
      <c r="J1" s="116"/>
      <c r="K1" s="116"/>
      <c r="L1" s="116"/>
      <c r="U1" s="28"/>
    </row>
    <row r="2" spans="1:21" ht="21" customHeight="1" x14ac:dyDescent="0.3">
      <c r="G2" s="118" t="s">
        <v>555</v>
      </c>
      <c r="H2" s="118"/>
      <c r="I2" s="118"/>
      <c r="J2" s="118"/>
      <c r="K2" s="118"/>
      <c r="L2" s="118"/>
    </row>
    <row r="3" spans="1:21" ht="18" customHeight="1" x14ac:dyDescent="0.35">
      <c r="A3" s="2" t="s">
        <v>556</v>
      </c>
      <c r="G3" s="15"/>
      <c r="H3" s="15"/>
      <c r="I3" s="15"/>
      <c r="J3" s="15"/>
      <c r="K3" s="31"/>
      <c r="L3" s="31"/>
    </row>
    <row r="4" spans="1:21" ht="15" customHeight="1" x14ac:dyDescent="0.3">
      <c r="A4" s="5" t="s">
        <v>557</v>
      </c>
      <c r="B4" s="5" t="s">
        <v>519</v>
      </c>
      <c r="C4" s="5" t="s">
        <v>531</v>
      </c>
      <c r="D4" s="5" t="s">
        <v>558</v>
      </c>
      <c r="E4" s="5" t="s">
        <v>559</v>
      </c>
      <c r="F4" s="5" t="s">
        <v>560</v>
      </c>
      <c r="G4" s="5" t="s">
        <v>561</v>
      </c>
      <c r="H4" s="5" t="s">
        <v>261</v>
      </c>
      <c r="I4" s="5" t="s">
        <v>6</v>
      </c>
      <c r="J4" s="5" t="s">
        <v>493</v>
      </c>
      <c r="K4" s="5" t="s">
        <v>562</v>
      </c>
      <c r="L4" s="5" t="s">
        <v>534</v>
      </c>
      <c r="M4" s="5" t="s">
        <v>563</v>
      </c>
      <c r="N4" s="5" t="s">
        <v>12</v>
      </c>
      <c r="O4" s="5" t="s">
        <v>564</v>
      </c>
      <c r="P4" s="5" t="s">
        <v>565</v>
      </c>
      <c r="Q4" s="5" t="s">
        <v>13</v>
      </c>
      <c r="R4" s="5" t="s">
        <v>266</v>
      </c>
      <c r="S4" s="5" t="s">
        <v>356</v>
      </c>
    </row>
    <row r="5" spans="1:21" s="20" customFormat="1" ht="14.25" customHeight="1" x14ac:dyDescent="0.3">
      <c r="A5" s="17" t="s">
        <v>277</v>
      </c>
      <c r="B5" s="17" t="s">
        <v>277</v>
      </c>
      <c r="C5" s="19" t="s">
        <v>279</v>
      </c>
      <c r="D5" s="19" t="s">
        <v>279</v>
      </c>
      <c r="G5" s="19" t="s">
        <v>279</v>
      </c>
      <c r="H5" s="88" t="s">
        <v>277</v>
      </c>
      <c r="I5" s="19" t="s">
        <v>279</v>
      </c>
      <c r="J5" s="18" t="s">
        <v>278</v>
      </c>
      <c r="K5" s="18" t="s">
        <v>278</v>
      </c>
      <c r="L5" s="17" t="s">
        <v>277</v>
      </c>
      <c r="M5" s="18" t="s">
        <v>278</v>
      </c>
      <c r="N5" s="19" t="s">
        <v>279</v>
      </c>
      <c r="O5" s="18" t="s">
        <v>357</v>
      </c>
      <c r="P5" s="19" t="s">
        <v>279</v>
      </c>
      <c r="Q5" s="18" t="s">
        <v>278</v>
      </c>
      <c r="R5" s="19" t="s">
        <v>279</v>
      </c>
      <c r="S5" s="18" t="s">
        <v>357</v>
      </c>
    </row>
    <row r="6" spans="1:21" ht="42.75" customHeight="1" x14ac:dyDescent="0.3">
      <c r="C6" s="22" t="s">
        <v>497</v>
      </c>
      <c r="E6" s="38" t="s">
        <v>566</v>
      </c>
      <c r="F6" s="39" t="s">
        <v>567</v>
      </c>
      <c r="G6" s="22" t="s">
        <v>497</v>
      </c>
      <c r="I6" s="22" t="s">
        <v>497</v>
      </c>
      <c r="N6" s="22" t="s">
        <v>497</v>
      </c>
      <c r="P6" s="22" t="s">
        <v>497</v>
      </c>
    </row>
    <row r="7" spans="1:21" ht="14.25" customHeight="1" x14ac:dyDescent="0.3">
      <c r="A7" s="7" t="s">
        <v>568</v>
      </c>
      <c r="B7" s="24">
        <v>46239</v>
      </c>
      <c r="C7" s="7" t="s">
        <v>50</v>
      </c>
      <c r="D7" s="7" t="s">
        <v>88</v>
      </c>
      <c r="E7" s="7"/>
      <c r="F7" s="26">
        <v>0.02</v>
      </c>
      <c r="G7" s="7" t="s">
        <v>359</v>
      </c>
      <c r="H7" s="7" t="s">
        <v>569</v>
      </c>
      <c r="I7" s="7" t="s">
        <v>49</v>
      </c>
      <c r="J7" s="14">
        <v>4500</v>
      </c>
      <c r="K7" s="14">
        <v>178</v>
      </c>
      <c r="L7" s="37">
        <f t="shared" ref="L7:L13" si="0">J7*K7</f>
        <v>801000</v>
      </c>
      <c r="M7" s="7" t="s">
        <v>570</v>
      </c>
      <c r="N7" s="7" t="s">
        <v>157</v>
      </c>
      <c r="O7" s="7" t="s">
        <v>54</v>
      </c>
      <c r="P7" s="7" t="s">
        <v>53</v>
      </c>
      <c r="Q7" s="7" t="s">
        <v>56</v>
      </c>
      <c r="R7" s="7" t="s">
        <v>139</v>
      </c>
      <c r="S7" s="7" t="s">
        <v>571</v>
      </c>
    </row>
    <row r="8" spans="1:21" ht="14.25" customHeight="1" x14ac:dyDescent="0.3">
      <c r="A8" s="7" t="s">
        <v>572</v>
      </c>
      <c r="B8" s="24">
        <v>46242</v>
      </c>
      <c r="C8" s="7" t="s">
        <v>50</v>
      </c>
      <c r="D8" s="7" t="s">
        <v>126</v>
      </c>
      <c r="E8" s="7"/>
      <c r="F8" s="26">
        <v>0.02</v>
      </c>
      <c r="G8" s="7" t="s">
        <v>359</v>
      </c>
      <c r="H8" s="7" t="s">
        <v>569</v>
      </c>
      <c r="I8" s="7" t="s">
        <v>49</v>
      </c>
      <c r="J8" s="14">
        <v>6200</v>
      </c>
      <c r="K8" s="14">
        <v>182</v>
      </c>
      <c r="L8" s="37">
        <f t="shared" si="0"/>
        <v>1128400</v>
      </c>
      <c r="M8" s="7" t="s">
        <v>570</v>
      </c>
      <c r="N8" s="7" t="s">
        <v>182</v>
      </c>
      <c r="O8" s="7" t="s">
        <v>54</v>
      </c>
      <c r="P8" s="7" t="s">
        <v>90</v>
      </c>
      <c r="Q8" s="7" t="s">
        <v>93</v>
      </c>
      <c r="R8" s="7" t="s">
        <v>139</v>
      </c>
      <c r="S8" s="7" t="s">
        <v>573</v>
      </c>
    </row>
    <row r="9" spans="1:21" ht="14.25" customHeight="1" x14ac:dyDescent="0.3">
      <c r="A9" s="7" t="s">
        <v>574</v>
      </c>
      <c r="B9" s="24">
        <v>46243</v>
      </c>
      <c r="C9" s="7" t="s">
        <v>87</v>
      </c>
      <c r="D9" s="7"/>
      <c r="E9" s="7" t="s">
        <v>127</v>
      </c>
      <c r="F9" s="26">
        <v>0.01</v>
      </c>
      <c r="G9" s="7" t="s">
        <v>368</v>
      </c>
      <c r="H9" s="7" t="s">
        <v>575</v>
      </c>
      <c r="I9" s="7" t="s">
        <v>124</v>
      </c>
      <c r="J9" s="14">
        <v>9000</v>
      </c>
      <c r="K9" s="14">
        <v>12</v>
      </c>
      <c r="L9" s="37">
        <f t="shared" si="0"/>
        <v>108000</v>
      </c>
      <c r="M9" s="7" t="s">
        <v>576</v>
      </c>
      <c r="N9" s="7"/>
      <c r="O9" s="7"/>
      <c r="P9" s="7" t="s">
        <v>53</v>
      </c>
      <c r="Q9" s="7"/>
      <c r="R9" s="7" t="s">
        <v>139</v>
      </c>
      <c r="S9" s="7" t="s">
        <v>577</v>
      </c>
    </row>
    <row r="10" spans="1:21" ht="14.25" customHeight="1" x14ac:dyDescent="0.3">
      <c r="A10" s="7" t="s">
        <v>578</v>
      </c>
      <c r="B10" s="24">
        <v>46245</v>
      </c>
      <c r="C10" s="7" t="s">
        <v>50</v>
      </c>
      <c r="D10" s="7" t="s">
        <v>88</v>
      </c>
      <c r="E10" s="7"/>
      <c r="F10" s="26">
        <v>0.03</v>
      </c>
      <c r="G10" s="7" t="s">
        <v>359</v>
      </c>
      <c r="H10" s="7" t="s">
        <v>569</v>
      </c>
      <c r="I10" s="7" t="s">
        <v>49</v>
      </c>
      <c r="J10" s="14">
        <v>3400</v>
      </c>
      <c r="K10" s="14">
        <v>165</v>
      </c>
      <c r="L10" s="37">
        <f t="shared" si="0"/>
        <v>561000</v>
      </c>
      <c r="M10" s="7" t="s">
        <v>570</v>
      </c>
      <c r="N10" s="7" t="s">
        <v>130</v>
      </c>
      <c r="O10" s="7" t="s">
        <v>156</v>
      </c>
      <c r="P10" s="7" t="s">
        <v>202</v>
      </c>
      <c r="Q10" s="7" t="s">
        <v>56</v>
      </c>
      <c r="R10" s="7" t="s">
        <v>103</v>
      </c>
      <c r="S10" s="7" t="s">
        <v>579</v>
      </c>
    </row>
    <row r="11" spans="1:21" ht="14.25" customHeight="1" x14ac:dyDescent="0.3">
      <c r="A11" s="7" t="s">
        <v>580</v>
      </c>
      <c r="B11" s="24">
        <v>46247</v>
      </c>
      <c r="C11" s="7" t="s">
        <v>87</v>
      </c>
      <c r="D11" s="7"/>
      <c r="E11" s="7" t="s">
        <v>179</v>
      </c>
      <c r="F11" s="26">
        <v>0.01</v>
      </c>
      <c r="G11" s="7" t="s">
        <v>368</v>
      </c>
      <c r="H11" s="7" t="s">
        <v>575</v>
      </c>
      <c r="I11" s="7" t="s">
        <v>124</v>
      </c>
      <c r="J11" s="14">
        <v>20000</v>
      </c>
      <c r="K11" s="14">
        <v>3</v>
      </c>
      <c r="L11" s="37">
        <f t="shared" si="0"/>
        <v>60000</v>
      </c>
      <c r="M11" s="7" t="s">
        <v>581</v>
      </c>
      <c r="N11" s="7"/>
      <c r="O11" s="7"/>
      <c r="P11" s="7"/>
      <c r="Q11" s="7"/>
      <c r="R11" s="7" t="s">
        <v>103</v>
      </c>
      <c r="S11" s="7" t="s">
        <v>582</v>
      </c>
    </row>
    <row r="12" spans="1:21" ht="14.25" customHeight="1" x14ac:dyDescent="0.3">
      <c r="A12" s="7" t="s">
        <v>583</v>
      </c>
      <c r="B12" s="24">
        <v>46249</v>
      </c>
      <c r="C12" s="7" t="s">
        <v>50</v>
      </c>
      <c r="D12" s="7" t="s">
        <v>126</v>
      </c>
      <c r="E12" s="7"/>
      <c r="F12" s="26">
        <v>0.02</v>
      </c>
      <c r="G12" s="7" t="s">
        <v>359</v>
      </c>
      <c r="H12" s="7" t="s">
        <v>569</v>
      </c>
      <c r="I12" s="7" t="s">
        <v>49</v>
      </c>
      <c r="J12" s="14">
        <v>5600</v>
      </c>
      <c r="K12" s="14">
        <v>188</v>
      </c>
      <c r="L12" s="37">
        <f t="shared" si="0"/>
        <v>1052800</v>
      </c>
      <c r="M12" s="7" t="s">
        <v>570</v>
      </c>
      <c r="N12" s="7" t="s">
        <v>182</v>
      </c>
      <c r="O12" s="7" t="s">
        <v>129</v>
      </c>
      <c r="P12" s="7" t="s">
        <v>128</v>
      </c>
      <c r="Q12" s="7" t="s">
        <v>93</v>
      </c>
      <c r="R12" s="7" t="s">
        <v>68</v>
      </c>
      <c r="S12" s="7" t="s">
        <v>584</v>
      </c>
    </row>
    <row r="13" spans="1:21" ht="14.25" customHeight="1" x14ac:dyDescent="0.3">
      <c r="A13" s="7" t="s">
        <v>585</v>
      </c>
      <c r="B13" s="24">
        <v>46250</v>
      </c>
      <c r="C13" s="7" t="s">
        <v>87</v>
      </c>
      <c r="D13" s="7"/>
      <c r="E13" s="7" t="s">
        <v>89</v>
      </c>
      <c r="F13" s="26">
        <v>0.01</v>
      </c>
      <c r="G13" s="7" t="s">
        <v>368</v>
      </c>
      <c r="H13" s="7" t="s">
        <v>575</v>
      </c>
      <c r="I13" s="7" t="s">
        <v>124</v>
      </c>
      <c r="J13" s="14">
        <v>12000</v>
      </c>
      <c r="K13" s="14">
        <v>4</v>
      </c>
      <c r="L13" s="37">
        <f t="shared" si="0"/>
        <v>48000</v>
      </c>
      <c r="M13" s="7" t="s">
        <v>586</v>
      </c>
      <c r="N13" s="7"/>
      <c r="O13" s="7"/>
      <c r="P13" s="7" t="s">
        <v>202</v>
      </c>
      <c r="Q13" s="7"/>
      <c r="R13" s="7" t="s">
        <v>68</v>
      </c>
      <c r="S13" s="7" t="s">
        <v>587</v>
      </c>
    </row>
  </sheetData>
  <mergeCells count="2">
    <mergeCell ref="G1:L1"/>
    <mergeCell ref="G2:L2"/>
  </mergeCells>
  <dataValidations count="10">
    <dataValidation type="list" allowBlank="1" errorTitle="Not in master" error="Value must be chosen from the master list." promptTitle="Master-driven list" prompt="Select from L_ItemCategory" sqref="C7:C500" xr:uid="{00000000-0002-0000-0B00-000000000000}">
      <formula1>L_ItemCategory</formula1>
      <formula2>0</formula2>
    </dataValidation>
    <dataValidation type="list" allowBlank="1" errorTitle="Not in master" error="Value must be chosen from the master list." promptTitle="Master-driven list" prompt="Select from L_FabricSubCat" sqref="D7:D500" xr:uid="{00000000-0002-0000-0B00-000001000000}">
      <formula1>L_FabricSubCat</formula1>
      <formula2>0</formula2>
    </dataValidation>
    <dataValidation type="list" allowBlank="1" errorTitle="Not in master" error="Value must be chosen from the master list." promptTitle="Master-driven list" prompt="Select from L_AccessoriesItem" sqref="E7:E500" xr:uid="{00000000-0002-0000-0B00-000002000000}">
      <formula1>L_AccessoriesItem</formula1>
      <formula2>0</formula2>
    </dataValidation>
    <dataValidation type="list" allowBlank="1" errorTitle="Not in master" error="Value must be chosen from the master list." promptTitle="Master-driven list" prompt="Select from M_VendorName" sqref="G7:G500" xr:uid="{00000000-0002-0000-0B00-000003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I7:I500" xr:uid="{00000000-0002-0000-0B00-000004000000}">
      <formula1>L_UOM</formula1>
      <formula2>0</formula2>
    </dataValidation>
    <dataValidation type="list" allowBlank="1" errorTitle="Not in master" error="Value must be chosen from the master list." promptTitle="Master-driven list" prompt="Select from L_GSM" sqref="N7:N500" xr:uid="{00000000-0002-0000-0B00-000005000000}">
      <formula1>L_GSM</formula1>
      <formula2>0</formula2>
    </dataValidation>
    <dataValidation type="list" allowBlank="1" errorTitle="Not in master" error="Value must be chosen from the master list." promptTitle="Master-driven list" prompt="Select from L_FabricContent" sqref="O7:O500" xr:uid="{00000000-0002-0000-0B00-000006000000}">
      <formula1>L_FabricContent</formula1>
      <formula2>0</formula2>
    </dataValidation>
    <dataValidation type="list" allowBlank="1" errorTitle="Not in master" error="Value must be chosen from the master list." promptTitle="Master-driven list" prompt="Select from L_ColorCode" sqref="P7:P500" xr:uid="{00000000-0002-0000-0B00-000007000000}">
      <formula1>L_ColorCode</formula1>
      <formula2>0</formula2>
    </dataValidation>
    <dataValidation type="list" allowBlank="1" errorTitle="Not in master" error="Value must be chosen from the master list." promptTitle="Master-driven list" prompt="Select from L_Count" sqref="Q7:Q500" xr:uid="{00000000-0002-0000-0B00-000008000000}">
      <formula1>L_Count</formula1>
      <formula2>0</formula2>
    </dataValidation>
    <dataValidation type="list" allowBlank="1" errorTitle="Not in master" error="Value must be chosen from the master list." promptTitle="Master-driven list" prompt="Select from L_StatusGeneral" sqref="R7:R500" xr:uid="{00000000-0002-0000-0B00-000009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P13"/>
  <sheetViews>
    <sheetView showGridLines="0" topLeftCell="D1" zoomScaleNormal="100" workbookViewId="0">
      <pane ySplit="6" topLeftCell="A7" activePane="bottomLeft" state="frozen"/>
      <selection pane="bottomLeft" activeCell="D6" sqref="D6"/>
    </sheetView>
  </sheetViews>
  <sheetFormatPr defaultColWidth="8.5546875" defaultRowHeight="14.4" x14ac:dyDescent="0.3"/>
  <cols>
    <col min="1" max="3" width="30" customWidth="1"/>
    <col min="4" max="4" width="24" customWidth="1"/>
    <col min="5" max="5" width="16" customWidth="1"/>
    <col min="6" max="6" width="24" customWidth="1"/>
    <col min="7" max="10" width="14" customWidth="1"/>
    <col min="11" max="11" width="16.6640625" bestFit="1" customWidth="1"/>
    <col min="12" max="12" width="15" customWidth="1"/>
    <col min="13" max="14" width="17" customWidth="1"/>
  </cols>
  <sheetData>
    <row r="1" spans="1:16" ht="21" customHeight="1" x14ac:dyDescent="0.3">
      <c r="A1" s="4" t="s">
        <v>588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</row>
    <row r="2" spans="1:16" ht="21" customHeight="1" x14ac:dyDescent="0.3">
      <c r="A2" s="2"/>
      <c r="C2" s="118" t="s">
        <v>589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</row>
    <row r="3" spans="1:16" ht="12" customHeight="1" x14ac:dyDescent="0.3"/>
    <row r="4" spans="1:16" ht="30" customHeight="1" x14ac:dyDescent="0.3">
      <c r="A4" s="5" t="s">
        <v>590</v>
      </c>
      <c r="B4" s="5" t="s">
        <v>519</v>
      </c>
      <c r="C4" s="5" t="s">
        <v>591</v>
      </c>
      <c r="D4" s="5" t="s">
        <v>592</v>
      </c>
      <c r="E4" s="5" t="s">
        <v>531</v>
      </c>
      <c r="F4" s="5" t="s">
        <v>593</v>
      </c>
      <c r="G4" s="5" t="s">
        <v>533</v>
      </c>
      <c r="H4" s="5" t="s">
        <v>594</v>
      </c>
      <c r="I4" s="5" t="s">
        <v>595</v>
      </c>
      <c r="J4" s="5" t="s">
        <v>6</v>
      </c>
      <c r="K4" s="5" t="s">
        <v>21</v>
      </c>
      <c r="L4" s="5" t="s">
        <v>535</v>
      </c>
      <c r="M4" s="5" t="s">
        <v>266</v>
      </c>
      <c r="N4" s="5" t="s">
        <v>356</v>
      </c>
    </row>
    <row r="5" spans="1:16" ht="14.25" customHeight="1" x14ac:dyDescent="0.3">
      <c r="A5" s="34" t="s">
        <v>277</v>
      </c>
      <c r="B5" s="34" t="s">
        <v>277</v>
      </c>
      <c r="C5" s="12" t="s">
        <v>279</v>
      </c>
      <c r="D5" s="12" t="s">
        <v>279</v>
      </c>
      <c r="E5" s="12" t="s">
        <v>279</v>
      </c>
      <c r="F5" s="12" t="s">
        <v>279</v>
      </c>
      <c r="G5" s="34" t="s">
        <v>277</v>
      </c>
      <c r="H5" s="11" t="s">
        <v>278</v>
      </c>
      <c r="I5" s="34" t="s">
        <v>277</v>
      </c>
      <c r="J5" s="34" t="s">
        <v>277</v>
      </c>
      <c r="K5" s="12" t="s">
        <v>279</v>
      </c>
      <c r="L5" s="34" t="s">
        <v>277</v>
      </c>
      <c r="M5" s="12" t="s">
        <v>279</v>
      </c>
      <c r="N5" s="11" t="s">
        <v>357</v>
      </c>
    </row>
    <row r="6" spans="1:16" ht="42.75" customHeight="1" x14ac:dyDescent="0.3">
      <c r="C6" s="35" t="s">
        <v>596</v>
      </c>
      <c r="F6" s="35"/>
      <c r="K6" s="85" t="s">
        <v>950</v>
      </c>
      <c r="L6" s="4" t="s">
        <v>597</v>
      </c>
      <c r="M6" s="35" t="s">
        <v>598</v>
      </c>
    </row>
    <row r="7" spans="1:16" ht="14.25" customHeight="1" x14ac:dyDescent="0.3">
      <c r="A7" s="7" t="s">
        <v>599</v>
      </c>
      <c r="B7" s="24">
        <v>46243</v>
      </c>
      <c r="C7" s="7" t="s">
        <v>74</v>
      </c>
      <c r="D7" s="7" t="s">
        <v>568</v>
      </c>
      <c r="E7" s="7" t="s">
        <v>50</v>
      </c>
      <c r="F7" s="7" t="s">
        <v>359</v>
      </c>
      <c r="G7" s="14">
        <v>4500</v>
      </c>
      <c r="H7" s="14">
        <v>4500</v>
      </c>
      <c r="I7" s="40">
        <f t="shared" ref="I7:I13" si="0">IFERROR((G7-H7)/G7,0)</f>
        <v>0</v>
      </c>
      <c r="J7" s="7" t="s">
        <v>49</v>
      </c>
      <c r="K7" s="7" t="s">
        <v>218</v>
      </c>
      <c r="L7" s="7" t="s">
        <v>479</v>
      </c>
      <c r="M7" s="7" t="s">
        <v>117</v>
      </c>
      <c r="N7" s="7" t="s">
        <v>600</v>
      </c>
    </row>
    <row r="8" spans="1:16" ht="14.25" customHeight="1" x14ac:dyDescent="0.3">
      <c r="A8" s="7" t="s">
        <v>601</v>
      </c>
      <c r="B8" s="24">
        <v>46244</v>
      </c>
      <c r="C8" s="7" t="s">
        <v>109</v>
      </c>
      <c r="D8" s="7" t="s">
        <v>602</v>
      </c>
      <c r="E8" s="7" t="s">
        <v>50</v>
      </c>
      <c r="F8" s="7" t="s">
        <v>377</v>
      </c>
      <c r="G8" s="14">
        <v>2000</v>
      </c>
      <c r="H8" s="14">
        <v>2000</v>
      </c>
      <c r="I8" s="40">
        <f t="shared" si="0"/>
        <v>0</v>
      </c>
      <c r="J8" s="7" t="s">
        <v>49</v>
      </c>
      <c r="K8" s="7" t="s">
        <v>63</v>
      </c>
      <c r="L8" s="7" t="s">
        <v>73</v>
      </c>
      <c r="M8" s="7" t="s">
        <v>117</v>
      </c>
      <c r="N8" s="7" t="s">
        <v>603</v>
      </c>
    </row>
    <row r="9" spans="1:16" ht="14.25" customHeight="1" x14ac:dyDescent="0.3">
      <c r="A9" s="7" t="s">
        <v>604</v>
      </c>
      <c r="B9" s="24">
        <v>46248</v>
      </c>
      <c r="C9" s="7" t="s">
        <v>74</v>
      </c>
      <c r="D9" s="7" t="s">
        <v>602</v>
      </c>
      <c r="E9" s="7" t="s">
        <v>605</v>
      </c>
      <c r="F9" s="7" t="s">
        <v>377</v>
      </c>
      <c r="G9" s="14">
        <v>2000</v>
      </c>
      <c r="H9" s="14">
        <v>1950</v>
      </c>
      <c r="I9" s="40">
        <f t="shared" si="0"/>
        <v>2.5000000000000001E-2</v>
      </c>
      <c r="J9" s="7" t="s">
        <v>49</v>
      </c>
      <c r="K9" s="7" t="s">
        <v>63</v>
      </c>
      <c r="L9" s="7" t="s">
        <v>479</v>
      </c>
      <c r="M9" s="7" t="s">
        <v>117</v>
      </c>
      <c r="N9" s="7" t="s">
        <v>606</v>
      </c>
    </row>
    <row r="10" spans="1:16" ht="14.25" customHeight="1" x14ac:dyDescent="0.3">
      <c r="A10" s="7" t="s">
        <v>607</v>
      </c>
      <c r="B10" s="24">
        <v>46249</v>
      </c>
      <c r="C10" s="7" t="s">
        <v>109</v>
      </c>
      <c r="D10" s="7" t="s">
        <v>608</v>
      </c>
      <c r="E10" s="7" t="s">
        <v>609</v>
      </c>
      <c r="F10" s="7" t="s">
        <v>386</v>
      </c>
      <c r="G10" s="14">
        <v>3000</v>
      </c>
      <c r="H10" s="14">
        <v>3000</v>
      </c>
      <c r="I10" s="40">
        <f t="shared" si="0"/>
        <v>0</v>
      </c>
      <c r="J10" s="7" t="s">
        <v>124</v>
      </c>
      <c r="K10" s="7" t="s">
        <v>100</v>
      </c>
      <c r="L10" s="7" t="s">
        <v>73</v>
      </c>
      <c r="M10" s="7" t="s">
        <v>117</v>
      </c>
      <c r="N10" s="7" t="s">
        <v>451</v>
      </c>
    </row>
    <row r="11" spans="1:16" ht="14.25" customHeight="1" x14ac:dyDescent="0.3">
      <c r="A11" s="7" t="s">
        <v>610</v>
      </c>
      <c r="B11" s="24">
        <v>46251</v>
      </c>
      <c r="C11" s="7" t="s">
        <v>109</v>
      </c>
      <c r="D11" s="7" t="s">
        <v>611</v>
      </c>
      <c r="E11" s="7" t="s">
        <v>612</v>
      </c>
      <c r="F11" s="7" t="s">
        <v>404</v>
      </c>
      <c r="G11" s="14">
        <v>2500</v>
      </c>
      <c r="H11" s="14">
        <v>2500</v>
      </c>
      <c r="I11" s="40">
        <f t="shared" si="0"/>
        <v>0</v>
      </c>
      <c r="J11" s="7" t="s">
        <v>124</v>
      </c>
      <c r="K11" s="7" t="s">
        <v>119</v>
      </c>
      <c r="L11" s="7" t="s">
        <v>479</v>
      </c>
      <c r="M11" s="7" t="s">
        <v>117</v>
      </c>
      <c r="N11" s="7" t="s">
        <v>613</v>
      </c>
    </row>
    <row r="12" spans="1:16" ht="14.25" customHeight="1" x14ac:dyDescent="0.3">
      <c r="A12" s="7" t="s">
        <v>614</v>
      </c>
      <c r="B12" s="24">
        <v>46253</v>
      </c>
      <c r="C12" s="7" t="s">
        <v>74</v>
      </c>
      <c r="D12" s="7" t="s">
        <v>611</v>
      </c>
      <c r="E12" s="7" t="s">
        <v>612</v>
      </c>
      <c r="F12" s="7" t="s">
        <v>404</v>
      </c>
      <c r="G12" s="14">
        <v>2500</v>
      </c>
      <c r="H12" s="14">
        <v>2460</v>
      </c>
      <c r="I12" s="40">
        <f t="shared" si="0"/>
        <v>1.6E-2</v>
      </c>
      <c r="J12" s="7" t="s">
        <v>124</v>
      </c>
      <c r="K12" s="7" t="s">
        <v>119</v>
      </c>
      <c r="L12" s="7" t="s">
        <v>479</v>
      </c>
      <c r="M12" s="7" t="s">
        <v>117</v>
      </c>
      <c r="N12" s="7" t="s">
        <v>615</v>
      </c>
    </row>
    <row r="13" spans="1:16" ht="14.25" customHeight="1" x14ac:dyDescent="0.3">
      <c r="A13" s="7" t="s">
        <v>616</v>
      </c>
      <c r="B13" s="24">
        <v>46255</v>
      </c>
      <c r="C13" s="7" t="s">
        <v>74</v>
      </c>
      <c r="D13" s="7" t="s">
        <v>585</v>
      </c>
      <c r="E13" s="7" t="s">
        <v>89</v>
      </c>
      <c r="F13" s="7" t="s">
        <v>368</v>
      </c>
      <c r="G13" s="14">
        <v>12000</v>
      </c>
      <c r="H13" s="14">
        <v>12000</v>
      </c>
      <c r="I13" s="40">
        <f t="shared" si="0"/>
        <v>0</v>
      </c>
      <c r="J13" s="7" t="s">
        <v>124</v>
      </c>
      <c r="K13" s="7" t="s">
        <v>218</v>
      </c>
      <c r="L13" s="7" t="s">
        <v>479</v>
      </c>
      <c r="M13" s="7" t="s">
        <v>68</v>
      </c>
      <c r="N13" s="7" t="s">
        <v>617</v>
      </c>
    </row>
  </sheetData>
  <mergeCells count="2">
    <mergeCell ref="C1:P1"/>
    <mergeCell ref="C2:P2"/>
  </mergeCells>
  <dataValidations count="6">
    <dataValidation type="list" allowBlank="1" errorTitle="Not in master" error="Value must be chosen from the master list." promptTitle="Master-driven list" prompt="Select from L_GatePassType" sqref="C7:C500" xr:uid="{00000000-0002-0000-0C00-000000000000}">
      <formula1>L_GatePassType</formula1>
      <formula2>0</formula2>
    </dataValidation>
    <dataValidation type="list" allowBlank="1" errorTitle="Not in master" error="Value must be chosen from the master list." promptTitle="Master-driven list" prompt="Select from M_VendorName" sqref="F7:F500" xr:uid="{00000000-0002-0000-0C00-000001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J7:J500" xr:uid="{00000000-0002-0000-0C00-000002000000}">
      <formula1>L_UOM</formula1>
      <formula2>0</formula2>
    </dataValidation>
    <dataValidation type="list" allowBlank="1" errorTitle="Not in master" error="Value must be chosen from the master list." promptTitle="Master-driven list" prompt="Select from L_Purpose" sqref="K7:K500" xr:uid="{00000000-0002-0000-0C00-000003000000}">
      <formula1>L_Purpose</formula1>
      <formula2>0</formula2>
    </dataValidation>
    <dataValidation type="list" allowBlank="1" errorTitle="Not in master" error="Value must be chosen from the master list." promptTitle="Master-driven list" prompt="Select from M_EmpName" sqref="L7:L500" xr:uid="{00000000-0002-0000-0C00-000004000000}">
      <formula1>M_EmpName</formula1>
      <formula2>0</formula2>
    </dataValidation>
    <dataValidation type="list" allowBlank="1" errorTitle="Not in master" error="Value must be chosen from the master list." promptTitle="Master-driven list" prompt="Select from L_StatusGatePass" sqref="M7:M500" xr:uid="{00000000-0002-0000-0C00-000005000000}">
      <formula1>L_StatusGatePass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Q13"/>
  <sheetViews>
    <sheetView tabSelected="1" topLeftCell="B1" zoomScaleNormal="100" workbookViewId="0">
      <pane ySplit="6" topLeftCell="A7" activePane="bottomLeft" state="frozen"/>
      <selection pane="bottomLeft" activeCell="O9" sqref="O9"/>
    </sheetView>
  </sheetViews>
  <sheetFormatPr defaultColWidth="8.5546875" defaultRowHeight="14.4" x14ac:dyDescent="0.3"/>
  <cols>
    <col min="1" max="3" width="13" customWidth="1"/>
    <col min="4" max="4" width="21" customWidth="1"/>
    <col min="5" max="5" width="14" customWidth="1"/>
    <col min="6" max="6" width="13" customWidth="1"/>
    <col min="7" max="7" width="10.21875" customWidth="1"/>
    <col min="8" max="8" width="19" customWidth="1"/>
    <col min="9" max="9" width="16" customWidth="1"/>
    <col min="10" max="10" width="11.77734375" customWidth="1"/>
    <col min="11" max="11" width="15" customWidth="1"/>
    <col min="12" max="12" width="30" customWidth="1"/>
    <col min="13" max="14" width="13" customWidth="1"/>
    <col min="15" max="15" width="32" customWidth="1"/>
  </cols>
  <sheetData>
    <row r="1" spans="1:17" ht="21" customHeight="1" x14ac:dyDescent="0.3">
      <c r="A1" s="22" t="s">
        <v>588</v>
      </c>
      <c r="I1" s="116" t="s">
        <v>1</v>
      </c>
      <c r="J1" s="116"/>
      <c r="K1" s="116"/>
      <c r="Q1" s="28"/>
    </row>
    <row r="2" spans="1:17" ht="21" customHeight="1" x14ac:dyDescent="0.3">
      <c r="I2" s="118" t="s">
        <v>618</v>
      </c>
      <c r="J2" s="118"/>
      <c r="K2" s="118"/>
    </row>
    <row r="3" spans="1:17" ht="18" customHeight="1" x14ac:dyDescent="0.35">
      <c r="H3" s="15"/>
      <c r="I3" s="15"/>
      <c r="J3" s="15"/>
    </row>
    <row r="4" spans="1:17" ht="15" customHeight="1" x14ac:dyDescent="0.3">
      <c r="A4" s="5" t="s">
        <v>557</v>
      </c>
      <c r="B4" s="5" t="s">
        <v>619</v>
      </c>
      <c r="C4" s="5" t="s">
        <v>968</v>
      </c>
      <c r="D4" s="5" t="s">
        <v>519</v>
      </c>
      <c r="E4" s="5" t="s">
        <v>620</v>
      </c>
      <c r="F4" s="5" t="s">
        <v>531</v>
      </c>
      <c r="G4" s="5" t="s">
        <v>563</v>
      </c>
      <c r="H4" s="5" t="s">
        <v>621</v>
      </c>
      <c r="I4" s="5" t="s">
        <v>6</v>
      </c>
      <c r="J4" s="5" t="s">
        <v>493</v>
      </c>
      <c r="K4" s="5" t="s">
        <v>622</v>
      </c>
      <c r="L4" s="5" t="s">
        <v>623</v>
      </c>
      <c r="M4" s="5" t="s">
        <v>534</v>
      </c>
      <c r="N4" s="5" t="s">
        <v>266</v>
      </c>
      <c r="O4" s="86" t="s">
        <v>356</v>
      </c>
    </row>
    <row r="5" spans="1:17" s="20" customFormat="1" ht="14.25" customHeight="1" x14ac:dyDescent="0.3">
      <c r="A5" s="19" t="s">
        <v>279</v>
      </c>
      <c r="B5" s="41" t="s">
        <v>278</v>
      </c>
      <c r="C5" s="41" t="s">
        <v>278</v>
      </c>
      <c r="D5" s="17" t="s">
        <v>277</v>
      </c>
      <c r="E5" s="19" t="s">
        <v>279</v>
      </c>
      <c r="F5" s="17" t="s">
        <v>277</v>
      </c>
      <c r="G5" s="17" t="s">
        <v>277</v>
      </c>
      <c r="H5" s="17" t="s">
        <v>277</v>
      </c>
      <c r="I5" s="17" t="s">
        <v>277</v>
      </c>
      <c r="J5" s="17" t="s">
        <v>277</v>
      </c>
      <c r="K5" s="18" t="s">
        <v>278</v>
      </c>
      <c r="L5" s="89" t="s">
        <v>537</v>
      </c>
      <c r="M5" s="17" t="s">
        <v>277</v>
      </c>
      <c r="N5" s="19" t="s">
        <v>279</v>
      </c>
      <c r="O5" s="18" t="s">
        <v>357</v>
      </c>
    </row>
    <row r="6" spans="1:17" ht="14.25" customHeight="1" x14ac:dyDescent="0.3">
      <c r="B6" s="22"/>
      <c r="C6" s="22"/>
      <c r="M6" s="22"/>
    </row>
    <row r="7" spans="1:17" ht="14.25" customHeight="1" x14ac:dyDescent="0.3">
      <c r="A7" s="7" t="s">
        <v>568</v>
      </c>
      <c r="B7" s="7" t="s">
        <v>624</v>
      </c>
      <c r="C7" s="7"/>
      <c r="D7" s="24">
        <v>46243</v>
      </c>
      <c r="E7" s="7" t="s">
        <v>65</v>
      </c>
      <c r="F7" s="7" t="s">
        <v>50</v>
      </c>
      <c r="G7" s="7" t="s">
        <v>570</v>
      </c>
      <c r="H7" s="7" t="s">
        <v>359</v>
      </c>
      <c r="I7" s="7" t="s">
        <v>49</v>
      </c>
      <c r="J7" s="14">
        <v>4500</v>
      </c>
      <c r="K7" s="14">
        <v>4500</v>
      </c>
      <c r="L7" s="14">
        <v>178</v>
      </c>
      <c r="M7" s="37">
        <f t="shared" ref="M7:M13" si="0">K7*L7</f>
        <v>801000</v>
      </c>
      <c r="N7" s="7" t="s">
        <v>139</v>
      </c>
      <c r="O7" s="7" t="s">
        <v>625</v>
      </c>
    </row>
    <row r="8" spans="1:17" ht="14.25" customHeight="1" x14ac:dyDescent="0.3">
      <c r="A8" s="7" t="s">
        <v>572</v>
      </c>
      <c r="B8" s="7" t="s">
        <v>626</v>
      </c>
      <c r="C8" s="7"/>
      <c r="D8" s="24">
        <v>46246</v>
      </c>
      <c r="E8" s="7" t="s">
        <v>65</v>
      </c>
      <c r="F8" s="7" t="s">
        <v>50</v>
      </c>
      <c r="G8" s="7" t="s">
        <v>570</v>
      </c>
      <c r="H8" s="7" t="s">
        <v>359</v>
      </c>
      <c r="I8" s="7" t="s">
        <v>49</v>
      </c>
      <c r="J8" s="14">
        <v>6200</v>
      </c>
      <c r="K8" s="14">
        <v>6180</v>
      </c>
      <c r="L8" s="14">
        <v>182</v>
      </c>
      <c r="M8" s="37">
        <f t="shared" si="0"/>
        <v>1124760</v>
      </c>
      <c r="N8" s="7" t="s">
        <v>139</v>
      </c>
      <c r="O8" s="7" t="s">
        <v>627</v>
      </c>
    </row>
    <row r="9" spans="1:17" ht="14.25" customHeight="1" x14ac:dyDescent="0.3">
      <c r="A9" s="7" t="s">
        <v>574</v>
      </c>
      <c r="B9" s="7" t="s">
        <v>628</v>
      </c>
      <c r="C9" s="7"/>
      <c r="D9" s="24">
        <v>46247</v>
      </c>
      <c r="E9" s="7" t="s">
        <v>87</v>
      </c>
      <c r="F9" s="7" t="s">
        <v>87</v>
      </c>
      <c r="G9" s="7" t="s">
        <v>576</v>
      </c>
      <c r="H9" s="7" t="s">
        <v>368</v>
      </c>
      <c r="I9" s="7" t="s">
        <v>124</v>
      </c>
      <c r="J9" s="14">
        <v>9000</v>
      </c>
      <c r="K9" s="14">
        <v>9090</v>
      </c>
      <c r="L9" s="14">
        <v>12</v>
      </c>
      <c r="M9" s="37">
        <f t="shared" si="0"/>
        <v>109080</v>
      </c>
      <c r="N9" s="7" t="s">
        <v>139</v>
      </c>
      <c r="O9" s="7" t="s">
        <v>629</v>
      </c>
    </row>
    <row r="10" spans="1:17" ht="14.25" customHeight="1" x14ac:dyDescent="0.3">
      <c r="A10" s="7" t="s">
        <v>578</v>
      </c>
      <c r="B10" s="7" t="s">
        <v>630</v>
      </c>
      <c r="C10" s="7"/>
      <c r="D10" s="24">
        <v>46250</v>
      </c>
      <c r="E10" s="7" t="s">
        <v>65</v>
      </c>
      <c r="F10" s="7" t="s">
        <v>50</v>
      </c>
      <c r="G10" s="7" t="s">
        <v>570</v>
      </c>
      <c r="H10" s="7" t="s">
        <v>359</v>
      </c>
      <c r="I10" s="7" t="s">
        <v>49</v>
      </c>
      <c r="J10" s="14">
        <v>3400</v>
      </c>
      <c r="K10" s="14">
        <v>3400</v>
      </c>
      <c r="L10" s="14">
        <v>165</v>
      </c>
      <c r="M10" s="37">
        <f t="shared" si="0"/>
        <v>561000</v>
      </c>
      <c r="N10" s="7" t="s">
        <v>139</v>
      </c>
      <c r="O10" s="7"/>
    </row>
    <row r="11" spans="1:17" ht="14.25" customHeight="1" x14ac:dyDescent="0.3">
      <c r="A11" s="7" t="s">
        <v>580</v>
      </c>
      <c r="B11" s="7" t="s">
        <v>631</v>
      </c>
      <c r="C11" s="7"/>
      <c r="D11" s="24">
        <v>46252</v>
      </c>
      <c r="E11" s="7" t="s">
        <v>87</v>
      </c>
      <c r="F11" s="7" t="s">
        <v>87</v>
      </c>
      <c r="G11" s="7" t="s">
        <v>581</v>
      </c>
      <c r="H11" s="7" t="s">
        <v>368</v>
      </c>
      <c r="I11" s="7" t="s">
        <v>124</v>
      </c>
      <c r="J11" s="14">
        <v>20000</v>
      </c>
      <c r="K11" s="14">
        <v>20000</v>
      </c>
      <c r="L11" s="14">
        <v>3</v>
      </c>
      <c r="M11" s="37">
        <f t="shared" si="0"/>
        <v>60000</v>
      </c>
      <c r="N11" s="7" t="s">
        <v>139</v>
      </c>
      <c r="O11" s="7" t="s">
        <v>632</v>
      </c>
    </row>
    <row r="12" spans="1:17" ht="14.25" customHeight="1" x14ac:dyDescent="0.3">
      <c r="A12" s="7" t="s">
        <v>583</v>
      </c>
      <c r="B12" s="7" t="s">
        <v>633</v>
      </c>
      <c r="C12" s="7"/>
      <c r="D12" s="24">
        <v>46254</v>
      </c>
      <c r="E12" s="7" t="s">
        <v>65</v>
      </c>
      <c r="F12" s="7" t="s">
        <v>50</v>
      </c>
      <c r="G12" s="7" t="s">
        <v>570</v>
      </c>
      <c r="H12" s="7" t="s">
        <v>359</v>
      </c>
      <c r="I12" s="7" t="s">
        <v>49</v>
      </c>
      <c r="J12" s="14">
        <v>5600</v>
      </c>
      <c r="K12" s="14">
        <v>2800</v>
      </c>
      <c r="L12" s="14">
        <v>188</v>
      </c>
      <c r="M12" s="37">
        <f t="shared" si="0"/>
        <v>526400</v>
      </c>
      <c r="N12" s="7" t="s">
        <v>103</v>
      </c>
      <c r="O12" s="7" t="s">
        <v>634</v>
      </c>
    </row>
    <row r="13" spans="1:17" ht="14.25" customHeight="1" x14ac:dyDescent="0.3">
      <c r="A13" s="7" t="s">
        <v>585</v>
      </c>
      <c r="B13" s="7" t="s">
        <v>635</v>
      </c>
      <c r="C13" s="7"/>
      <c r="D13" s="24">
        <v>46256</v>
      </c>
      <c r="E13" s="7" t="s">
        <v>87</v>
      </c>
      <c r="F13" s="7" t="s">
        <v>89</v>
      </c>
      <c r="G13" s="7" t="s">
        <v>586</v>
      </c>
      <c r="H13" s="7" t="s">
        <v>368</v>
      </c>
      <c r="I13" s="7" t="s">
        <v>124</v>
      </c>
      <c r="J13" s="14">
        <v>12000</v>
      </c>
      <c r="K13" s="14">
        <v>12000</v>
      </c>
      <c r="L13" s="14">
        <v>4</v>
      </c>
      <c r="M13" s="37">
        <f t="shared" si="0"/>
        <v>48000</v>
      </c>
      <c r="N13" s="7" t="s">
        <v>139</v>
      </c>
      <c r="O13" s="7"/>
    </row>
  </sheetData>
  <mergeCells count="2">
    <mergeCell ref="I1:K1"/>
    <mergeCell ref="I2:K2"/>
  </mergeCells>
  <dataValidations count="6">
    <dataValidation type="list" allowBlank="1" errorTitle="Not in master" error="Value must be chosen from the master list." promptTitle="Master-driven list" prompt="Select from M_POID" sqref="A7:A500" xr:uid="{00000000-0002-0000-0D00-000000000000}">
      <formula1>M_POID</formula1>
      <formula2>0</formula2>
    </dataValidation>
    <dataValidation type="list" allowBlank="1" errorTitle="Not in master" error="Value must be chosen from the master list." promptTitle="Master-driven list" prompt="Select from L_GRNPurpose" sqref="E7:E500" xr:uid="{00000000-0002-0000-0D00-000001000000}">
      <formula1>L_GRNPurpose</formula1>
      <formula2>0</formula2>
    </dataValidation>
    <dataValidation type="list" allowBlank="1" errorTitle="Not in master" error="Value must be chosen from the master list." promptTitle="Master-driven list" prompt="Select from L_ItemCategory" sqref="F7:F500" xr:uid="{00000000-0002-0000-0D00-000002000000}">
      <formula1>L_ItemCategory</formula1>
      <formula2>0</formula2>
    </dataValidation>
    <dataValidation type="list" allowBlank="1" errorTitle="Not in master" error="Value must be chosen from the master list." promptTitle="Master-driven list" prompt="Select from M_VendorName" sqref="H7:H500" xr:uid="{00000000-0002-0000-0D00-000003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I7:I500" xr:uid="{00000000-0002-0000-0D00-000004000000}">
      <formula1>L_UOM</formula1>
      <formula2>0</formula2>
    </dataValidation>
    <dataValidation type="list" allowBlank="1" errorTitle="Not in master" error="Value must be chosen from the master list." promptTitle="Master-driven list" prompt="Select from L_StatusGeneral" sqref="N7:N500" xr:uid="{00000000-0002-0000-0D00-000005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N16"/>
  <sheetViews>
    <sheetView zoomScaleNormal="100" workbookViewId="0">
      <pane ySplit="6" topLeftCell="A7" activePane="bottomLeft" state="frozen"/>
      <selection pane="bottomLeft" activeCell="B5" sqref="B5"/>
    </sheetView>
  </sheetViews>
  <sheetFormatPr defaultColWidth="8.5546875" defaultRowHeight="14.4" x14ac:dyDescent="0.3"/>
  <cols>
    <col min="1" max="2" width="21" customWidth="1"/>
    <col min="3" max="3" width="11" customWidth="1"/>
    <col min="4" max="4" width="18.33203125" customWidth="1"/>
    <col min="5" max="5" width="13" customWidth="1"/>
    <col min="6" max="6" width="32" customWidth="1"/>
    <col min="7" max="7" width="15" customWidth="1"/>
    <col min="8" max="9" width="20" customWidth="1"/>
    <col min="10" max="10" width="15.6640625" customWidth="1"/>
    <col min="11" max="11" width="13" customWidth="1"/>
    <col min="12" max="12" width="22" customWidth="1"/>
  </cols>
  <sheetData>
    <row r="1" spans="1:14" ht="21" customHeight="1" x14ac:dyDescent="0.35">
      <c r="A1" s="22" t="s">
        <v>636</v>
      </c>
      <c r="B1" s="22"/>
      <c r="F1" s="116" t="s">
        <v>1</v>
      </c>
      <c r="G1" s="116"/>
      <c r="H1" s="116"/>
      <c r="I1" s="116"/>
      <c r="J1" s="31"/>
      <c r="N1" s="28"/>
    </row>
    <row r="2" spans="1:14" ht="21" customHeight="1" x14ac:dyDescent="0.3">
      <c r="F2" s="118" t="s">
        <v>637</v>
      </c>
      <c r="G2" s="118"/>
      <c r="H2" s="118"/>
      <c r="I2" s="118"/>
      <c r="J2" s="42"/>
    </row>
    <row r="4" spans="1:14" ht="15" customHeight="1" x14ac:dyDescent="0.3">
      <c r="A4" s="5" t="s">
        <v>519</v>
      </c>
      <c r="B4" s="5" t="s">
        <v>969</v>
      </c>
      <c r="C4" s="5" t="s">
        <v>968</v>
      </c>
      <c r="D4" s="5" t="s">
        <v>21</v>
      </c>
      <c r="E4" s="5" t="s">
        <v>487</v>
      </c>
      <c r="F4" s="5" t="s">
        <v>422</v>
      </c>
      <c r="G4" s="5" t="s">
        <v>639</v>
      </c>
      <c r="H4" s="5" t="s">
        <v>640</v>
      </c>
      <c r="I4" s="5" t="s">
        <v>641</v>
      </c>
      <c r="J4" s="5" t="s">
        <v>494</v>
      </c>
      <c r="K4" s="5" t="s">
        <v>266</v>
      </c>
      <c r="L4" s="5" t="s">
        <v>356</v>
      </c>
    </row>
    <row r="5" spans="1:14" ht="14.25" customHeight="1" x14ac:dyDescent="0.3">
      <c r="A5" s="43" t="s">
        <v>277</v>
      </c>
      <c r="B5" s="43"/>
      <c r="C5" s="30" t="s">
        <v>278</v>
      </c>
      <c r="D5" s="29" t="s">
        <v>279</v>
      </c>
      <c r="E5" s="29" t="s">
        <v>279</v>
      </c>
      <c r="F5" s="29" t="s">
        <v>279</v>
      </c>
      <c r="G5" s="90" t="s">
        <v>277</v>
      </c>
      <c r="H5" s="30" t="s">
        <v>278</v>
      </c>
      <c r="I5" s="29" t="s">
        <v>279</v>
      </c>
      <c r="J5" s="29" t="s">
        <v>279</v>
      </c>
      <c r="K5" s="43" t="s">
        <v>277</v>
      </c>
      <c r="L5" s="30" t="s">
        <v>357</v>
      </c>
    </row>
    <row r="6" spans="1:14" ht="14.25" customHeight="1" x14ac:dyDescent="0.3">
      <c r="I6" s="22" t="s">
        <v>642</v>
      </c>
    </row>
    <row r="7" spans="1:14" ht="14.25" customHeight="1" x14ac:dyDescent="0.3">
      <c r="A7" s="24">
        <v>46244</v>
      </c>
      <c r="B7" s="24"/>
      <c r="C7" s="7" t="s">
        <v>643</v>
      </c>
      <c r="D7" s="7" t="s">
        <v>63</v>
      </c>
      <c r="E7" s="7" t="s">
        <v>498</v>
      </c>
      <c r="F7" s="7" t="s">
        <v>430</v>
      </c>
      <c r="G7" s="7" t="s">
        <v>462</v>
      </c>
      <c r="H7" s="14">
        <v>2000</v>
      </c>
      <c r="I7" s="7" t="s">
        <v>644</v>
      </c>
      <c r="J7" s="7" t="s">
        <v>53</v>
      </c>
      <c r="K7" s="7" t="s">
        <v>139</v>
      </c>
      <c r="L7" s="7" t="s">
        <v>645</v>
      </c>
    </row>
    <row r="8" spans="1:14" ht="14.25" customHeight="1" x14ac:dyDescent="0.3">
      <c r="A8" s="24">
        <v>46248</v>
      </c>
      <c r="B8" s="24"/>
      <c r="C8" s="7" t="s">
        <v>646</v>
      </c>
      <c r="D8" s="7" t="s">
        <v>64</v>
      </c>
      <c r="E8" s="7" t="s">
        <v>498</v>
      </c>
      <c r="F8" s="7" t="s">
        <v>430</v>
      </c>
      <c r="G8" s="7" t="s">
        <v>462</v>
      </c>
      <c r="H8" s="14">
        <v>1950</v>
      </c>
      <c r="I8" s="7" t="s">
        <v>644</v>
      </c>
      <c r="J8" s="7" t="s">
        <v>53</v>
      </c>
      <c r="K8" s="7" t="s">
        <v>139</v>
      </c>
      <c r="L8" s="7" t="s">
        <v>647</v>
      </c>
    </row>
    <row r="9" spans="1:14" ht="14.25" customHeight="1" x14ac:dyDescent="0.3">
      <c r="A9" s="24">
        <v>46249</v>
      </c>
      <c r="B9" s="24"/>
      <c r="C9" s="7" t="s">
        <v>648</v>
      </c>
      <c r="D9" s="7" t="s">
        <v>100</v>
      </c>
      <c r="E9" s="7" t="s">
        <v>510</v>
      </c>
      <c r="F9" s="7" t="s">
        <v>448</v>
      </c>
      <c r="G9" s="7" t="s">
        <v>462</v>
      </c>
      <c r="H9" s="14">
        <v>1200</v>
      </c>
      <c r="I9" s="7" t="s">
        <v>649</v>
      </c>
      <c r="J9" s="7" t="s">
        <v>128</v>
      </c>
      <c r="K9" s="7" t="s">
        <v>103</v>
      </c>
      <c r="L9" s="7" t="s">
        <v>650</v>
      </c>
    </row>
    <row r="10" spans="1:14" ht="14.25" customHeight="1" x14ac:dyDescent="0.3">
      <c r="A10" s="24">
        <v>46250</v>
      </c>
      <c r="B10" s="24"/>
      <c r="C10" s="7" t="s">
        <v>651</v>
      </c>
      <c r="D10" s="7" t="s">
        <v>64</v>
      </c>
      <c r="E10" s="7" t="s">
        <v>502</v>
      </c>
      <c r="F10" s="7" t="s">
        <v>434</v>
      </c>
      <c r="G10" s="7" t="s">
        <v>462</v>
      </c>
      <c r="H10" s="14">
        <v>3000</v>
      </c>
      <c r="I10" s="7" t="s">
        <v>649</v>
      </c>
      <c r="J10" s="7" t="s">
        <v>90</v>
      </c>
      <c r="K10" s="7" t="s">
        <v>139</v>
      </c>
      <c r="L10" s="7"/>
    </row>
    <row r="11" spans="1:14" ht="14.25" customHeight="1" x14ac:dyDescent="0.3">
      <c r="A11" s="24">
        <v>46252</v>
      </c>
      <c r="B11" s="24"/>
      <c r="C11" s="7" t="s">
        <v>652</v>
      </c>
      <c r="D11" s="7" t="s">
        <v>64</v>
      </c>
      <c r="E11" s="7" t="s">
        <v>503</v>
      </c>
      <c r="F11" s="7" t="s">
        <v>437</v>
      </c>
      <c r="G11" s="7" t="s">
        <v>462</v>
      </c>
      <c r="H11" s="14">
        <v>2200</v>
      </c>
      <c r="I11" s="7" t="s">
        <v>644</v>
      </c>
      <c r="J11" s="7" t="s">
        <v>155</v>
      </c>
      <c r="K11" s="7" t="s">
        <v>139</v>
      </c>
      <c r="L11" s="7" t="s">
        <v>653</v>
      </c>
    </row>
    <row r="12" spans="1:14" ht="14.25" customHeight="1" x14ac:dyDescent="0.3">
      <c r="A12" s="24">
        <v>46253</v>
      </c>
      <c r="B12" s="24"/>
      <c r="C12" s="7" t="s">
        <v>654</v>
      </c>
      <c r="D12" s="7" t="s">
        <v>63</v>
      </c>
      <c r="E12" s="7" t="s">
        <v>507</v>
      </c>
      <c r="F12" s="7" t="s">
        <v>441</v>
      </c>
      <c r="G12" s="7" t="s">
        <v>462</v>
      </c>
      <c r="H12" s="14">
        <v>1500</v>
      </c>
      <c r="I12" s="7" t="s">
        <v>644</v>
      </c>
      <c r="J12" s="7" t="s">
        <v>202</v>
      </c>
      <c r="K12" s="7" t="s">
        <v>103</v>
      </c>
      <c r="L12" s="7"/>
    </row>
    <row r="13" spans="1:14" ht="14.25" customHeight="1" x14ac:dyDescent="0.3">
      <c r="A13" s="24">
        <v>46255</v>
      </c>
      <c r="B13" s="24"/>
      <c r="C13" s="7" t="s">
        <v>655</v>
      </c>
      <c r="D13" s="7" t="s">
        <v>64</v>
      </c>
      <c r="E13" s="7" t="s">
        <v>513</v>
      </c>
      <c r="F13" s="7" t="s">
        <v>452</v>
      </c>
      <c r="G13" s="7" t="s">
        <v>462</v>
      </c>
      <c r="H13" s="14">
        <v>1100</v>
      </c>
      <c r="I13" s="7" t="s">
        <v>656</v>
      </c>
      <c r="J13" s="7" t="s">
        <v>215</v>
      </c>
      <c r="K13" s="7" t="s">
        <v>68</v>
      </c>
      <c r="L13" s="7"/>
    </row>
    <row r="14" spans="1:14" ht="14.25" customHeight="1" x14ac:dyDescent="0.3">
      <c r="A14" s="24">
        <v>46257</v>
      </c>
      <c r="B14" s="24"/>
      <c r="C14" s="7" t="s">
        <v>657</v>
      </c>
      <c r="D14" s="7" t="s">
        <v>63</v>
      </c>
      <c r="E14" s="7" t="s">
        <v>516</v>
      </c>
      <c r="F14" s="7" t="s">
        <v>445</v>
      </c>
      <c r="G14" s="7" t="s">
        <v>462</v>
      </c>
      <c r="H14" s="14">
        <v>1800</v>
      </c>
      <c r="I14" s="7" t="s">
        <v>644</v>
      </c>
      <c r="J14" s="7" t="s">
        <v>180</v>
      </c>
      <c r="K14" s="7" t="s">
        <v>103</v>
      </c>
      <c r="L14" s="8"/>
    </row>
    <row r="15" spans="1:14" ht="14.25" customHeight="1" x14ac:dyDescent="0.3">
      <c r="A15" s="24">
        <v>46259</v>
      </c>
      <c r="B15" s="24"/>
      <c r="C15" s="7" t="s">
        <v>658</v>
      </c>
      <c r="D15" s="7" t="s">
        <v>63</v>
      </c>
      <c r="E15" s="7" t="s">
        <v>510</v>
      </c>
      <c r="F15" s="7" t="s">
        <v>448</v>
      </c>
      <c r="G15" s="7" t="s">
        <v>462</v>
      </c>
      <c r="H15" s="14">
        <v>2500</v>
      </c>
      <c r="I15" s="7" t="s">
        <v>649</v>
      </c>
      <c r="J15" s="7" t="s">
        <v>128</v>
      </c>
      <c r="K15" s="7" t="s">
        <v>103</v>
      </c>
      <c r="L15" s="7" t="s">
        <v>659</v>
      </c>
    </row>
    <row r="16" spans="1:14" ht="14.25" customHeight="1" x14ac:dyDescent="0.3">
      <c r="A16" s="24">
        <v>46261</v>
      </c>
      <c r="B16" s="24"/>
      <c r="C16" s="7" t="s">
        <v>660</v>
      </c>
      <c r="D16" s="7" t="s">
        <v>64</v>
      </c>
      <c r="E16" s="7" t="s">
        <v>513</v>
      </c>
      <c r="F16" s="7" t="s">
        <v>452</v>
      </c>
      <c r="G16" s="7" t="s">
        <v>462</v>
      </c>
      <c r="H16" s="14">
        <v>1600</v>
      </c>
      <c r="I16" s="7" t="s">
        <v>656</v>
      </c>
      <c r="J16" s="7" t="s">
        <v>215</v>
      </c>
      <c r="K16" s="7" t="s">
        <v>68</v>
      </c>
      <c r="L16" s="8"/>
    </row>
  </sheetData>
  <mergeCells count="2">
    <mergeCell ref="F1:I1"/>
    <mergeCell ref="F2:I2"/>
  </mergeCells>
  <dataValidations count="6">
    <dataValidation type="list" allowBlank="1" errorTitle="Not in master" error="Value must be chosen from the master list." promptTitle="Master-driven list" prompt="Select from L_Purpose" sqref="D7:D500" xr:uid="{00000000-0002-0000-0E00-000000000000}">
      <formula1>L_Purpose</formula1>
      <formula2>0</formula2>
    </dataValidation>
    <dataValidation type="list" allowBlank="1" errorTitle="Not in master" error="Value must be chosen from the master list." promptTitle="Master-driven list" prompt="Select from M_OrderNo" sqref="E7:E500" xr:uid="{00000000-0002-0000-0E00-000001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F7:F500" xr:uid="{00000000-0002-0000-0E00-000002000000}">
      <formula1>M_StyleNo</formula1>
      <formula2>0</formula2>
    </dataValidation>
    <dataValidation type="list" allowBlank="1" errorTitle="Not in master" error="Value must be chosen from the master list." promptTitle="Master-driven list" prompt="Select from M_EmpName" sqref="G7:G500" xr:uid="{00000000-0002-0000-0E00-000003000000}">
      <formula1>M_EmpName</formula1>
      <formula2>0</formula2>
    </dataValidation>
    <dataValidation type="list" allowBlank="1" errorTitle="Not in master" error="Value must be chosen from the master list." promptTitle="Master-driven list" prompt="Select from L_ColorCode" sqref="J7:J500" xr:uid="{00000000-0002-0000-0E00-000004000000}">
      <formula1>L_ColorCode</formula1>
      <formula2>0</formula2>
    </dataValidation>
    <dataValidation type="list" allowBlank="1" errorTitle="Not in master" error="Value must be chosen from the master list." promptTitle="Master-driven list" prompt="Select from L_StatusGeneral" sqref="K7:K500" xr:uid="{00000000-0002-0000-0E00-000005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S14"/>
  <sheetViews>
    <sheetView zoomScaleNormal="100" workbookViewId="0">
      <pane ySplit="7" topLeftCell="A8" activePane="bottomLeft" state="frozen"/>
      <selection pane="bottomLeft" activeCell="J8" sqref="J8"/>
    </sheetView>
  </sheetViews>
  <sheetFormatPr defaultColWidth="8.5546875" defaultRowHeight="14.4" x14ac:dyDescent="0.3"/>
  <cols>
    <col min="1" max="1" width="21" customWidth="1"/>
    <col min="2" max="2" width="10" customWidth="1"/>
    <col min="3" max="4" width="15" customWidth="1"/>
    <col min="5" max="9" width="19" customWidth="1"/>
    <col min="10" max="10" width="16" customWidth="1"/>
    <col min="11" max="12" width="18" customWidth="1"/>
    <col min="13" max="15" width="9" customWidth="1"/>
    <col min="16" max="17" width="10" customWidth="1"/>
  </cols>
  <sheetData>
    <row r="1" spans="1:19" ht="21" customHeight="1" x14ac:dyDescent="0.35">
      <c r="A1" s="22" t="s">
        <v>588</v>
      </c>
      <c r="J1" s="116" t="s">
        <v>1</v>
      </c>
      <c r="K1" s="116"/>
      <c r="L1" s="116"/>
      <c r="M1" s="116"/>
      <c r="N1" s="31"/>
      <c r="S1" s="28"/>
    </row>
    <row r="2" spans="1:19" ht="21" customHeight="1" x14ac:dyDescent="0.3">
      <c r="J2" s="118" t="s">
        <v>661</v>
      </c>
      <c r="K2" s="118"/>
      <c r="L2" s="118"/>
      <c r="M2" s="118"/>
      <c r="N2" s="42"/>
    </row>
    <row r="5" spans="1:19" ht="15" customHeight="1" x14ac:dyDescent="0.3">
      <c r="A5" s="5" t="s">
        <v>519</v>
      </c>
      <c r="B5" s="5" t="s">
        <v>20</v>
      </c>
      <c r="C5" s="5" t="s">
        <v>968</v>
      </c>
      <c r="D5" s="5" t="s">
        <v>662</v>
      </c>
      <c r="E5" s="5" t="s">
        <v>564</v>
      </c>
      <c r="F5" s="5" t="s">
        <v>13</v>
      </c>
      <c r="G5" s="5" t="s">
        <v>14</v>
      </c>
      <c r="H5" s="5" t="s">
        <v>663</v>
      </c>
      <c r="I5" s="5" t="s">
        <v>12</v>
      </c>
      <c r="J5" s="5" t="s">
        <v>352</v>
      </c>
      <c r="K5" s="5" t="s">
        <v>261</v>
      </c>
      <c r="L5" s="5" t="s">
        <v>664</v>
      </c>
      <c r="M5" s="5" t="s">
        <v>533</v>
      </c>
      <c r="N5" s="5" t="s">
        <v>6</v>
      </c>
      <c r="O5" s="5" t="s">
        <v>665</v>
      </c>
      <c r="P5" s="5" t="s">
        <v>534</v>
      </c>
      <c r="Q5" s="5" t="s">
        <v>521</v>
      </c>
    </row>
    <row r="6" spans="1:19" ht="14.25" customHeight="1" x14ac:dyDescent="0.3">
      <c r="A6" s="43" t="s">
        <v>277</v>
      </c>
      <c r="B6" s="8" t="s">
        <v>278</v>
      </c>
      <c r="C6" s="29" t="s">
        <v>666</v>
      </c>
      <c r="D6" s="29" t="s">
        <v>666</v>
      </c>
      <c r="E6" s="92" t="s">
        <v>278</v>
      </c>
      <c r="F6" s="92" t="s">
        <v>278</v>
      </c>
      <c r="G6" s="92" t="s">
        <v>278</v>
      </c>
      <c r="H6" s="92" t="s">
        <v>278</v>
      </c>
      <c r="I6" s="92" t="s">
        <v>278</v>
      </c>
      <c r="J6" s="29" t="s">
        <v>666</v>
      </c>
      <c r="K6" s="30" t="s">
        <v>357</v>
      </c>
      <c r="L6" s="30" t="s">
        <v>667</v>
      </c>
      <c r="M6" s="92" t="s">
        <v>278</v>
      </c>
      <c r="N6" s="43" t="s">
        <v>277</v>
      </c>
      <c r="O6" s="92" t="s">
        <v>278</v>
      </c>
      <c r="P6" s="43" t="s">
        <v>277</v>
      </c>
      <c r="Q6" s="30" t="s">
        <v>357</v>
      </c>
    </row>
    <row r="8" spans="1:19" ht="14.25" customHeight="1" x14ac:dyDescent="0.3">
      <c r="A8" s="24">
        <v>46244</v>
      </c>
      <c r="B8" s="7" t="s">
        <v>63</v>
      </c>
      <c r="C8" s="7" t="s">
        <v>643</v>
      </c>
      <c r="D8" s="7" t="s">
        <v>53</v>
      </c>
      <c r="E8" s="7" t="s">
        <v>54</v>
      </c>
      <c r="F8" s="7" t="s">
        <v>56</v>
      </c>
      <c r="G8" s="7" t="s">
        <v>57</v>
      </c>
      <c r="H8" s="14">
        <v>63</v>
      </c>
      <c r="I8" s="7" t="s">
        <v>157</v>
      </c>
      <c r="J8" s="7" t="s">
        <v>377</v>
      </c>
      <c r="K8" s="7" t="s">
        <v>668</v>
      </c>
      <c r="L8" s="14">
        <v>303007</v>
      </c>
      <c r="M8" s="14">
        <v>2000</v>
      </c>
      <c r="N8" s="7" t="s">
        <v>49</v>
      </c>
      <c r="O8" s="14">
        <v>42</v>
      </c>
      <c r="P8" s="37">
        <f t="shared" ref="P8:P14" si="0">M8*O8</f>
        <v>84000</v>
      </c>
      <c r="Q8" s="7" t="s">
        <v>669</v>
      </c>
    </row>
    <row r="9" spans="1:19" ht="14.25" customHeight="1" x14ac:dyDescent="0.3">
      <c r="A9" s="24">
        <v>46246</v>
      </c>
      <c r="B9" s="7" t="s">
        <v>63</v>
      </c>
      <c r="C9" s="7" t="s">
        <v>651</v>
      </c>
      <c r="D9" s="7" t="s">
        <v>90</v>
      </c>
      <c r="E9" s="7" t="s">
        <v>54</v>
      </c>
      <c r="F9" s="7" t="s">
        <v>93</v>
      </c>
      <c r="G9" s="7" t="s">
        <v>94</v>
      </c>
      <c r="H9" s="14">
        <v>63</v>
      </c>
      <c r="I9" s="7" t="s">
        <v>182</v>
      </c>
      <c r="J9" s="7" t="s">
        <v>377</v>
      </c>
      <c r="K9" s="7" t="s">
        <v>668</v>
      </c>
      <c r="L9" s="14">
        <v>303007</v>
      </c>
      <c r="M9" s="14">
        <v>3000</v>
      </c>
      <c r="N9" s="7" t="s">
        <v>49</v>
      </c>
      <c r="O9" s="14">
        <v>45</v>
      </c>
      <c r="P9" s="37">
        <f t="shared" si="0"/>
        <v>135000</v>
      </c>
      <c r="Q9" s="7" t="s">
        <v>670</v>
      </c>
    </row>
    <row r="10" spans="1:19" ht="14.25" customHeight="1" x14ac:dyDescent="0.3">
      <c r="A10" s="24">
        <v>46249</v>
      </c>
      <c r="B10" s="7" t="s">
        <v>100</v>
      </c>
      <c r="C10" s="7" t="s">
        <v>648</v>
      </c>
      <c r="D10" s="7" t="s">
        <v>128</v>
      </c>
      <c r="E10" s="7" t="s">
        <v>129</v>
      </c>
      <c r="F10" s="7" t="s">
        <v>93</v>
      </c>
      <c r="G10" s="7" t="s">
        <v>94</v>
      </c>
      <c r="H10" s="14">
        <v>63</v>
      </c>
      <c r="I10" s="7" t="s">
        <v>182</v>
      </c>
      <c r="J10" s="7" t="s">
        <v>386</v>
      </c>
      <c r="K10" s="7" t="s">
        <v>668</v>
      </c>
      <c r="L10" s="14">
        <v>303007</v>
      </c>
      <c r="M10" s="14">
        <v>1200</v>
      </c>
      <c r="N10" s="7" t="s">
        <v>49</v>
      </c>
      <c r="O10" s="14">
        <v>38</v>
      </c>
      <c r="P10" s="37">
        <f t="shared" si="0"/>
        <v>45600</v>
      </c>
      <c r="Q10" s="7" t="s">
        <v>650</v>
      </c>
    </row>
    <row r="11" spans="1:19" ht="14.25" customHeight="1" x14ac:dyDescent="0.3">
      <c r="A11" s="24">
        <v>46251</v>
      </c>
      <c r="B11" s="7" t="s">
        <v>63</v>
      </c>
      <c r="C11" s="7" t="s">
        <v>652</v>
      </c>
      <c r="D11" s="7" t="s">
        <v>155</v>
      </c>
      <c r="E11" s="7" t="s">
        <v>181</v>
      </c>
      <c r="F11" s="7" t="s">
        <v>56</v>
      </c>
      <c r="G11" s="7" t="s">
        <v>57</v>
      </c>
      <c r="H11" s="14">
        <v>60</v>
      </c>
      <c r="I11" s="7" t="s">
        <v>130</v>
      </c>
      <c r="J11" s="7" t="s">
        <v>377</v>
      </c>
      <c r="K11" s="7" t="s">
        <v>668</v>
      </c>
      <c r="L11" s="14">
        <v>303007</v>
      </c>
      <c r="M11" s="14">
        <v>2200</v>
      </c>
      <c r="N11" s="7" t="s">
        <v>49</v>
      </c>
      <c r="O11" s="14">
        <v>44</v>
      </c>
      <c r="P11" s="37">
        <f t="shared" si="0"/>
        <v>96800</v>
      </c>
      <c r="Q11" s="7" t="s">
        <v>671</v>
      </c>
    </row>
    <row r="12" spans="1:19" ht="14.25" customHeight="1" x14ac:dyDescent="0.3">
      <c r="A12" s="24">
        <v>46253</v>
      </c>
      <c r="B12" s="7" t="s">
        <v>63</v>
      </c>
      <c r="C12" s="7" t="s">
        <v>654</v>
      </c>
      <c r="D12" s="7" t="s">
        <v>202</v>
      </c>
      <c r="E12" s="7" t="s">
        <v>156</v>
      </c>
      <c r="F12" s="7" t="s">
        <v>56</v>
      </c>
      <c r="G12" s="7" t="s">
        <v>132</v>
      </c>
      <c r="H12" s="14">
        <v>58</v>
      </c>
      <c r="I12" s="7" t="s">
        <v>92</v>
      </c>
      <c r="J12" s="7" t="s">
        <v>377</v>
      </c>
      <c r="K12" s="7" t="s">
        <v>668</v>
      </c>
      <c r="L12" s="14">
        <v>303007</v>
      </c>
      <c r="M12" s="14">
        <v>1500</v>
      </c>
      <c r="N12" s="7" t="s">
        <v>49</v>
      </c>
      <c r="O12" s="14">
        <v>40</v>
      </c>
      <c r="P12" s="37">
        <f t="shared" si="0"/>
        <v>60000</v>
      </c>
      <c r="Q12" s="7" t="s">
        <v>672</v>
      </c>
    </row>
    <row r="13" spans="1:19" ht="14.25" customHeight="1" x14ac:dyDescent="0.3">
      <c r="A13" s="24">
        <v>46255</v>
      </c>
      <c r="B13" s="7" t="s">
        <v>100</v>
      </c>
      <c r="C13" s="7" t="s">
        <v>655</v>
      </c>
      <c r="D13" s="7" t="s">
        <v>215</v>
      </c>
      <c r="E13" s="7" t="s">
        <v>91</v>
      </c>
      <c r="F13" s="7" t="s">
        <v>183</v>
      </c>
      <c r="G13" s="7" t="s">
        <v>159</v>
      </c>
      <c r="H13" s="14">
        <v>60</v>
      </c>
      <c r="I13" s="7" t="s">
        <v>203</v>
      </c>
      <c r="J13" s="7" t="s">
        <v>395</v>
      </c>
      <c r="K13" s="7" t="s">
        <v>396</v>
      </c>
      <c r="L13" s="14">
        <v>302022</v>
      </c>
      <c r="M13" s="14">
        <v>1100</v>
      </c>
      <c r="N13" s="7" t="s">
        <v>49</v>
      </c>
      <c r="O13" s="14">
        <v>36</v>
      </c>
      <c r="P13" s="37">
        <f t="shared" si="0"/>
        <v>39600</v>
      </c>
      <c r="Q13" s="7" t="s">
        <v>402</v>
      </c>
    </row>
    <row r="14" spans="1:19" ht="14.25" customHeight="1" x14ac:dyDescent="0.3">
      <c r="A14" s="24">
        <v>46257</v>
      </c>
      <c r="B14" s="7" t="s">
        <v>63</v>
      </c>
      <c r="C14" s="7" t="s">
        <v>657</v>
      </c>
      <c r="D14" s="7" t="s">
        <v>180</v>
      </c>
      <c r="E14" s="7" t="s">
        <v>156</v>
      </c>
      <c r="F14" s="7" t="s">
        <v>56</v>
      </c>
      <c r="G14" s="7" t="s">
        <v>132</v>
      </c>
      <c r="H14" s="14">
        <v>58</v>
      </c>
      <c r="I14" s="7" t="s">
        <v>92</v>
      </c>
      <c r="J14" s="7" t="s">
        <v>377</v>
      </c>
      <c r="K14" s="7" t="s">
        <v>668</v>
      </c>
      <c r="L14" s="14">
        <v>303007</v>
      </c>
      <c r="M14" s="14">
        <v>1800</v>
      </c>
      <c r="N14" s="7" t="s">
        <v>49</v>
      </c>
      <c r="O14" s="14">
        <v>41</v>
      </c>
      <c r="P14" s="37">
        <f t="shared" si="0"/>
        <v>73800</v>
      </c>
      <c r="Q14" s="7" t="s">
        <v>673</v>
      </c>
    </row>
  </sheetData>
  <mergeCells count="2">
    <mergeCell ref="J1:M1"/>
    <mergeCell ref="J2:M2"/>
  </mergeCells>
  <dataValidations count="9">
    <dataValidation type="list" allowBlank="1" errorTitle="Not in master" error="Value must be chosen from the master list." promptTitle="Master-driven list" prompt="Select from L_Process" sqref="B8:B500" xr:uid="{00000000-0002-0000-0F00-000000000000}">
      <formula1>L_Process</formula1>
      <formula2>0</formula2>
    </dataValidation>
    <dataValidation type="list" allowBlank="1" errorTitle="Not in master" error="Value must be chosen from the master list." promptTitle="Master-driven list" prompt="Select from M_FabricNo" sqref="C8:C500" xr:uid="{00000000-0002-0000-0F00-000001000000}">
      <formula1>M_FabricNo</formula1>
      <formula2>0</formula2>
    </dataValidation>
    <dataValidation type="list" allowBlank="1" errorTitle="Not in master" error="Value must be chosen from the master list." promptTitle="Master-driven list" prompt="Select from L_ColorCode" sqref="D8:D500" xr:uid="{00000000-0002-0000-0F00-000002000000}">
      <formula1>L_ColorCode</formula1>
      <formula2>0</formula2>
    </dataValidation>
    <dataValidation type="list" allowBlank="1" errorTitle="Not in master" error="Value must be chosen from the master list." promptTitle="Master-driven list" prompt="Select from L_FabricContent" sqref="E8:E500" xr:uid="{00000000-0002-0000-0F00-000003000000}">
      <formula1>L_FabricContent</formula1>
      <formula2>0</formula2>
    </dataValidation>
    <dataValidation type="list" allowBlank="1" errorTitle="Not in master" error="Value must be chosen from the master list." promptTitle="Master-driven list" prompt="Select from L_Count" sqref="F8:F500" xr:uid="{00000000-0002-0000-0F00-000004000000}">
      <formula1>L_Count</formula1>
      <formula2>0</formula2>
    </dataValidation>
    <dataValidation type="list" allowBlank="1" errorTitle="Not in master" error="Value must be chosen from the master list." promptTitle="Master-driven list" prompt="Select from L_Construction" sqref="G8:G500" xr:uid="{00000000-0002-0000-0F00-000005000000}">
      <formula1>L_Construction</formula1>
      <formula2>0</formula2>
    </dataValidation>
    <dataValidation type="list" allowBlank="1" errorTitle="Not in master" error="Value must be chosen from the master list." promptTitle="Master-driven list" prompt="Select from L_GSM" sqref="I8:I500" xr:uid="{00000000-0002-0000-0F00-000006000000}">
      <formula1>L_GSM</formula1>
      <formula2>0</formula2>
    </dataValidation>
    <dataValidation type="list" allowBlank="1" errorTitle="Not in master" error="Value must be chosen from the master list." promptTitle="Master-driven list" prompt="Select from M_VendorName" sqref="J8:J500" xr:uid="{00000000-0002-0000-0F00-000007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UOM" sqref="N8:N500" xr:uid="{00000000-0002-0000-0F00-000008000000}">
      <formula1>L_UOM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L13"/>
  <sheetViews>
    <sheetView showGridLines="0" zoomScaleNormal="100" workbookViewId="0">
      <pane ySplit="6" topLeftCell="A7" activePane="bottomLeft" state="frozen"/>
      <selection pane="bottomLeft" activeCell="K20" sqref="K20"/>
    </sheetView>
  </sheetViews>
  <sheetFormatPr defaultColWidth="8.5546875" defaultRowHeight="14.4" x14ac:dyDescent="0.3"/>
  <cols>
    <col min="1" max="7" width="24" customWidth="1"/>
    <col min="8" max="8" width="15" customWidth="1"/>
    <col min="9" max="10" width="22" customWidth="1"/>
  </cols>
  <sheetData>
    <row r="1" spans="1:12" ht="21" customHeight="1" x14ac:dyDescent="0.3">
      <c r="A1" s="4" t="s">
        <v>674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1" customHeight="1" x14ac:dyDescent="0.3">
      <c r="A2" s="2"/>
      <c r="C2" s="118" t="s">
        <v>675</v>
      </c>
      <c r="D2" s="118"/>
      <c r="E2" s="118"/>
      <c r="F2" s="118"/>
      <c r="G2" s="118"/>
      <c r="H2" s="118"/>
      <c r="I2" s="118"/>
      <c r="J2" s="118"/>
      <c r="K2" s="118"/>
      <c r="L2" s="118"/>
    </row>
    <row r="3" spans="1:12" ht="12" customHeight="1" x14ac:dyDescent="0.3"/>
    <row r="4" spans="1:12" ht="30" customHeight="1" x14ac:dyDescent="0.3">
      <c r="A4" s="5" t="s">
        <v>519</v>
      </c>
      <c r="B4" s="5" t="s">
        <v>638</v>
      </c>
      <c r="C4" s="5" t="s">
        <v>487</v>
      </c>
      <c r="D4" s="5" t="s">
        <v>422</v>
      </c>
      <c r="E4" s="5" t="s">
        <v>676</v>
      </c>
      <c r="F4" s="5" t="s">
        <v>677</v>
      </c>
      <c r="G4" s="5" t="s">
        <v>678</v>
      </c>
      <c r="H4" s="5" t="s">
        <v>535</v>
      </c>
      <c r="I4" s="5" t="s">
        <v>34</v>
      </c>
      <c r="J4" s="5" t="s">
        <v>356</v>
      </c>
    </row>
    <row r="5" spans="1:12" ht="14.25" customHeight="1" x14ac:dyDescent="0.3">
      <c r="A5" s="34" t="s">
        <v>277</v>
      </c>
      <c r="B5" s="12" t="s">
        <v>279</v>
      </c>
      <c r="C5" s="12" t="s">
        <v>279</v>
      </c>
      <c r="D5" s="12" t="s">
        <v>279</v>
      </c>
      <c r="E5" s="12" t="s">
        <v>279</v>
      </c>
      <c r="F5" s="11" t="s">
        <v>278</v>
      </c>
      <c r="G5" s="12" t="s">
        <v>279</v>
      </c>
      <c r="H5" s="12" t="s">
        <v>279</v>
      </c>
      <c r="I5" s="12" t="s">
        <v>279</v>
      </c>
      <c r="J5" s="11" t="s">
        <v>357</v>
      </c>
    </row>
    <row r="6" spans="1:12" ht="42.75" customHeight="1" x14ac:dyDescent="0.3">
      <c r="E6" s="35" t="s">
        <v>679</v>
      </c>
      <c r="G6" s="35" t="s">
        <v>680</v>
      </c>
      <c r="H6" s="36" t="s">
        <v>73</v>
      </c>
      <c r="I6" s="35" t="s">
        <v>681</v>
      </c>
    </row>
    <row r="7" spans="1:12" ht="14.25" customHeight="1" x14ac:dyDescent="0.3">
      <c r="A7" s="24">
        <v>46252</v>
      </c>
      <c r="B7" s="7" t="s">
        <v>652</v>
      </c>
      <c r="C7" s="7" t="s">
        <v>503</v>
      </c>
      <c r="D7" s="7" t="s">
        <v>437</v>
      </c>
      <c r="E7" s="7" t="s">
        <v>246</v>
      </c>
      <c r="F7" s="14">
        <v>110</v>
      </c>
      <c r="G7" s="7" t="s">
        <v>468</v>
      </c>
      <c r="H7" s="7" t="s">
        <v>73</v>
      </c>
      <c r="I7" s="7" t="s">
        <v>142</v>
      </c>
      <c r="J7" s="7" t="s">
        <v>682</v>
      </c>
    </row>
    <row r="8" spans="1:12" ht="14.25" customHeight="1" x14ac:dyDescent="0.3">
      <c r="A8" s="24">
        <v>46253</v>
      </c>
      <c r="B8" s="7" t="s">
        <v>652</v>
      </c>
      <c r="C8" s="7" t="s">
        <v>503</v>
      </c>
      <c r="D8" s="7" t="s">
        <v>437</v>
      </c>
      <c r="E8" s="7" t="s">
        <v>232</v>
      </c>
      <c r="F8" s="14">
        <v>40</v>
      </c>
      <c r="G8" s="7" t="s">
        <v>471</v>
      </c>
      <c r="H8" s="7" t="s">
        <v>73</v>
      </c>
      <c r="I8" s="7" t="s">
        <v>110</v>
      </c>
      <c r="J8" s="7" t="s">
        <v>683</v>
      </c>
    </row>
    <row r="9" spans="1:12" ht="14.25" customHeight="1" x14ac:dyDescent="0.3">
      <c r="A9" s="24">
        <v>46260</v>
      </c>
      <c r="B9" s="7" t="s">
        <v>658</v>
      </c>
      <c r="C9" s="7" t="s">
        <v>510</v>
      </c>
      <c r="D9" s="7" t="s">
        <v>448</v>
      </c>
      <c r="E9" s="7" t="s">
        <v>246</v>
      </c>
      <c r="F9" s="14">
        <v>150</v>
      </c>
      <c r="G9" s="7" t="s">
        <v>468</v>
      </c>
      <c r="H9" s="7" t="s">
        <v>73</v>
      </c>
      <c r="I9" s="7" t="s">
        <v>142</v>
      </c>
      <c r="J9" s="7" t="s">
        <v>684</v>
      </c>
    </row>
    <row r="10" spans="1:12" ht="14.25" customHeight="1" x14ac:dyDescent="0.3">
      <c r="A10" s="24">
        <v>46261</v>
      </c>
      <c r="B10" s="7" t="s">
        <v>658</v>
      </c>
      <c r="C10" s="7" t="s">
        <v>510</v>
      </c>
      <c r="D10" s="7" t="s">
        <v>448</v>
      </c>
      <c r="E10" s="7" t="s">
        <v>234</v>
      </c>
      <c r="F10" s="14">
        <v>25</v>
      </c>
      <c r="G10" s="7" t="s">
        <v>471</v>
      </c>
      <c r="H10" s="7" t="s">
        <v>73</v>
      </c>
      <c r="I10" s="7" t="s">
        <v>110</v>
      </c>
      <c r="J10" s="7" t="s">
        <v>685</v>
      </c>
    </row>
    <row r="11" spans="1:12" ht="14.25" customHeight="1" x14ac:dyDescent="0.3">
      <c r="A11" s="24">
        <v>46263</v>
      </c>
      <c r="B11" s="7" t="s">
        <v>646</v>
      </c>
      <c r="C11" s="7" t="s">
        <v>498</v>
      </c>
      <c r="D11" s="7" t="s">
        <v>430</v>
      </c>
      <c r="E11" s="7" t="s">
        <v>244</v>
      </c>
      <c r="F11" s="14">
        <v>18</v>
      </c>
      <c r="G11" s="7" t="s">
        <v>468</v>
      </c>
      <c r="H11" s="7" t="s">
        <v>73</v>
      </c>
      <c r="I11" s="7" t="s">
        <v>75</v>
      </c>
      <c r="J11" s="7" t="s">
        <v>686</v>
      </c>
    </row>
    <row r="12" spans="1:12" ht="14.25" customHeight="1" x14ac:dyDescent="0.3">
      <c r="A12" s="24">
        <v>46264</v>
      </c>
      <c r="B12" s="7" t="s">
        <v>654</v>
      </c>
      <c r="C12" s="7" t="s">
        <v>507</v>
      </c>
      <c r="D12" s="7" t="s">
        <v>441</v>
      </c>
      <c r="E12" s="7" t="s">
        <v>232</v>
      </c>
      <c r="F12" s="14">
        <v>32</v>
      </c>
      <c r="G12" s="7" t="s">
        <v>471</v>
      </c>
      <c r="H12" s="7" t="s">
        <v>73</v>
      </c>
      <c r="I12" s="7" t="s">
        <v>142</v>
      </c>
      <c r="J12" s="7" t="s">
        <v>687</v>
      </c>
    </row>
    <row r="13" spans="1:12" ht="14.25" customHeight="1" x14ac:dyDescent="0.3">
      <c r="A13" s="24">
        <v>46265</v>
      </c>
      <c r="B13" s="7" t="s">
        <v>657</v>
      </c>
      <c r="C13" s="7" t="s">
        <v>516</v>
      </c>
      <c r="D13" s="7" t="s">
        <v>445</v>
      </c>
      <c r="E13" s="7" t="s">
        <v>246</v>
      </c>
      <c r="F13" s="14">
        <v>60</v>
      </c>
      <c r="G13" s="7" t="s">
        <v>468</v>
      </c>
      <c r="H13" s="7" t="s">
        <v>73</v>
      </c>
      <c r="I13" s="7" t="s">
        <v>75</v>
      </c>
      <c r="J13" s="7" t="s">
        <v>688</v>
      </c>
    </row>
  </sheetData>
  <mergeCells count="2">
    <mergeCell ref="C1:L1"/>
    <mergeCell ref="C2:L2"/>
  </mergeCells>
  <dataValidations count="7">
    <dataValidation type="list" allowBlank="1" errorTitle="Not in master" error="Value must be chosen from the master list." promptTitle="Master-driven list" prompt="Select from M_FabricNo" sqref="B7:B500" xr:uid="{00000000-0002-0000-1100-000000000000}">
      <formula1>M_FabricNo</formula1>
      <formula2>0</formula2>
    </dataValidation>
    <dataValidation type="list" allowBlank="1" errorTitle="Not in master" error="Value must be chosen from the master list." promptTitle="Master-driven list" prompt="Select from M_OrderNo" sqref="C7:C500" xr:uid="{00000000-0002-0000-1100-000001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D7:D500" xr:uid="{00000000-0002-0000-1100-000002000000}">
      <formula1>M_StyleNo</formula1>
      <formula2>0</formula2>
    </dataValidation>
    <dataValidation type="list" allowBlank="1" errorTitle="Not in master" error="Value must be chosen from the master list." promptTitle="Master-driven list" prompt="Select from L_DefectType" sqref="E7:E500" xr:uid="{00000000-0002-0000-1100-000003000000}">
      <formula1>L_DefectType</formula1>
      <formula2>0</formula2>
    </dataValidation>
    <dataValidation type="list" allowBlank="1" errorTitle="Not in master" error="Value must be chosen from the master list." promptTitle="Master-driven list" prompt="Select from M_EmpName" sqref="G7:G500" xr:uid="{00000000-0002-0000-1100-000004000000}">
      <formula1>M_EmpName</formula1>
      <formula2>0</formula2>
    </dataValidation>
    <dataValidation type="list" allowBlank="1" errorTitle="Not in master" error="Value must be chosen from the master list." promptTitle="Master-driven list" prompt="Select from L_AuthorisedBy" sqref="H7:H500" xr:uid="{00000000-0002-0000-1100-000005000000}">
      <formula1>L_AuthorisedBy</formula1>
      <formula2>0</formula2>
    </dataValidation>
    <dataValidation type="list" allowBlank="1" errorTitle="Not in master" error="Value must be chosen from the master list." promptTitle="Master-driven list" prompt="Select from L_Decision" sqref="I7:I500" xr:uid="{00000000-0002-0000-1100-000006000000}">
      <formula1>L_Decision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J12"/>
  <sheetViews>
    <sheetView zoomScale="115" zoomScaleNormal="115" workbookViewId="0">
      <pane ySplit="5" topLeftCell="A6" activePane="bottomLeft" state="frozen"/>
      <selection activeCell="B1" sqref="B1"/>
      <selection pane="bottomLeft" activeCell="C4" sqref="C4"/>
    </sheetView>
  </sheetViews>
  <sheetFormatPr defaultColWidth="8.5546875" defaultRowHeight="14.4" x14ac:dyDescent="0.3"/>
  <cols>
    <col min="1" max="1" width="21" customWidth="1"/>
    <col min="2" max="3" width="13" customWidth="1"/>
    <col min="4" max="5" width="18" customWidth="1"/>
    <col min="6" max="7" width="13" customWidth="1"/>
    <col min="8" max="8" width="28" customWidth="1"/>
  </cols>
  <sheetData>
    <row r="1" spans="1:10" ht="21" customHeight="1" x14ac:dyDescent="0.3">
      <c r="A1" s="22" t="s">
        <v>689</v>
      </c>
      <c r="D1" s="116" t="s">
        <v>1</v>
      </c>
      <c r="E1" s="116"/>
      <c r="F1" s="116"/>
      <c r="G1" s="116"/>
      <c r="J1" s="28"/>
    </row>
    <row r="2" spans="1:10" ht="21" customHeight="1" x14ac:dyDescent="0.3">
      <c r="D2" s="118" t="s">
        <v>690</v>
      </c>
      <c r="E2" s="118"/>
      <c r="F2" s="118"/>
      <c r="G2" s="118"/>
    </row>
    <row r="3" spans="1:10" ht="15" customHeight="1" x14ac:dyDescent="0.3">
      <c r="A3" s="5" t="s">
        <v>519</v>
      </c>
      <c r="B3" s="5" t="s">
        <v>487</v>
      </c>
      <c r="C3" s="5" t="s">
        <v>691</v>
      </c>
      <c r="D3" s="5" t="s">
        <v>692</v>
      </c>
      <c r="E3" s="5" t="s">
        <v>693</v>
      </c>
      <c r="F3" s="5" t="s">
        <v>533</v>
      </c>
      <c r="G3" s="5" t="s">
        <v>6</v>
      </c>
      <c r="H3" s="5" t="s">
        <v>356</v>
      </c>
    </row>
    <row r="4" spans="1:10" ht="14.25" customHeight="1" x14ac:dyDescent="0.3">
      <c r="A4" s="43" t="s">
        <v>277</v>
      </c>
      <c r="B4" s="43" t="s">
        <v>277</v>
      </c>
      <c r="C4" s="43" t="s">
        <v>277</v>
      </c>
      <c r="D4" s="29" t="s">
        <v>279</v>
      </c>
      <c r="E4" s="29" t="s">
        <v>279</v>
      </c>
      <c r="F4" s="92" t="s">
        <v>278</v>
      </c>
      <c r="G4" s="83" t="s">
        <v>279</v>
      </c>
      <c r="H4" s="92" t="s">
        <v>951</v>
      </c>
    </row>
    <row r="5" spans="1:10" ht="14.25" customHeight="1" x14ac:dyDescent="0.3">
      <c r="A5" s="8"/>
      <c r="B5" s="8"/>
      <c r="C5" s="8"/>
      <c r="D5" s="8"/>
      <c r="E5" s="45"/>
      <c r="F5" s="8"/>
      <c r="G5" s="45"/>
      <c r="H5" s="8"/>
    </row>
    <row r="6" spans="1:10" ht="14.25" customHeight="1" x14ac:dyDescent="0.3">
      <c r="A6" s="24">
        <v>46249</v>
      </c>
      <c r="B6" s="7" t="s">
        <v>510</v>
      </c>
      <c r="C6" s="7" t="s">
        <v>448</v>
      </c>
      <c r="D6" s="7" t="s">
        <v>386</v>
      </c>
      <c r="E6" s="7" t="s">
        <v>66</v>
      </c>
      <c r="F6" s="14">
        <v>1200</v>
      </c>
      <c r="G6" s="7" t="s">
        <v>152</v>
      </c>
      <c r="H6" s="7" t="s">
        <v>694</v>
      </c>
    </row>
    <row r="7" spans="1:10" ht="14.25" customHeight="1" x14ac:dyDescent="0.3">
      <c r="A7" s="24">
        <v>46251</v>
      </c>
      <c r="B7" s="7" t="s">
        <v>510</v>
      </c>
      <c r="C7" s="7" t="s">
        <v>448</v>
      </c>
      <c r="D7" s="7" t="s">
        <v>386</v>
      </c>
      <c r="E7" s="7" t="s">
        <v>66</v>
      </c>
      <c r="F7" s="14">
        <v>800</v>
      </c>
      <c r="G7" s="7" t="s">
        <v>152</v>
      </c>
      <c r="H7" s="7" t="s">
        <v>695</v>
      </c>
    </row>
    <row r="8" spans="1:10" ht="14.25" customHeight="1" x14ac:dyDescent="0.3">
      <c r="A8" s="24">
        <v>46255</v>
      </c>
      <c r="B8" s="7" t="s">
        <v>513</v>
      </c>
      <c r="C8" s="7" t="s">
        <v>452</v>
      </c>
      <c r="D8" s="7" t="s">
        <v>395</v>
      </c>
      <c r="E8" s="7" t="s">
        <v>66</v>
      </c>
      <c r="F8" s="14">
        <v>1100</v>
      </c>
      <c r="G8" s="7" t="s">
        <v>152</v>
      </c>
      <c r="H8" s="7" t="s">
        <v>402</v>
      </c>
    </row>
    <row r="9" spans="1:10" ht="14.25" customHeight="1" x14ac:dyDescent="0.3">
      <c r="A9" s="24">
        <v>46258</v>
      </c>
      <c r="B9" s="7" t="s">
        <v>498</v>
      </c>
      <c r="C9" s="7" t="s">
        <v>430</v>
      </c>
      <c r="D9" s="7" t="s">
        <v>386</v>
      </c>
      <c r="E9" s="7" t="s">
        <v>101</v>
      </c>
      <c r="F9" s="14">
        <v>500</v>
      </c>
      <c r="G9" s="7" t="s">
        <v>124</v>
      </c>
      <c r="H9" s="7" t="s">
        <v>696</v>
      </c>
    </row>
    <row r="10" spans="1:10" ht="14.25" customHeight="1" x14ac:dyDescent="0.3">
      <c r="A10" s="24">
        <v>46260</v>
      </c>
      <c r="B10" s="7" t="s">
        <v>502</v>
      </c>
      <c r="C10" s="7" t="s">
        <v>434</v>
      </c>
      <c r="D10" s="7" t="s">
        <v>386</v>
      </c>
      <c r="E10" s="7" t="s">
        <v>101</v>
      </c>
      <c r="F10" s="14">
        <v>750</v>
      </c>
      <c r="G10" s="7" t="s">
        <v>124</v>
      </c>
      <c r="H10" s="7" t="s">
        <v>697</v>
      </c>
    </row>
    <row r="11" spans="1:10" ht="14.25" customHeight="1" x14ac:dyDescent="0.3">
      <c r="A11" s="24">
        <v>46262</v>
      </c>
      <c r="B11" s="7" t="s">
        <v>503</v>
      </c>
      <c r="C11" s="7" t="s">
        <v>437</v>
      </c>
      <c r="D11" s="7" t="s">
        <v>395</v>
      </c>
      <c r="E11" s="7" t="s">
        <v>66</v>
      </c>
      <c r="F11" s="14">
        <v>900</v>
      </c>
      <c r="G11" s="7" t="s">
        <v>152</v>
      </c>
      <c r="H11" s="7"/>
    </row>
    <row r="12" spans="1:10" ht="14.25" customHeight="1" x14ac:dyDescent="0.3">
      <c r="A12" s="24">
        <v>46264</v>
      </c>
      <c r="B12" s="7" t="s">
        <v>516</v>
      </c>
      <c r="C12" s="7" t="s">
        <v>445</v>
      </c>
      <c r="D12" s="7" t="s">
        <v>386</v>
      </c>
      <c r="E12" s="7" t="s">
        <v>101</v>
      </c>
      <c r="F12" s="14">
        <v>400</v>
      </c>
      <c r="G12" s="7" t="s">
        <v>124</v>
      </c>
      <c r="H12" s="7" t="s">
        <v>698</v>
      </c>
    </row>
  </sheetData>
  <mergeCells count="2">
    <mergeCell ref="D1:G1"/>
    <mergeCell ref="D2:G2"/>
  </mergeCells>
  <dataValidations count="5">
    <dataValidation type="list" allowBlank="1" errorTitle="Not in master" error="Value must be chosen from the master list." promptTitle="Master-driven list" prompt="Select from M_OrderNo" sqref="B6:B500" xr:uid="{00000000-0002-0000-12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C6:C500" xr:uid="{00000000-0002-0000-12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M_VendorName" sqref="D6:D500" xr:uid="{00000000-0002-0000-1200-000002000000}">
      <formula1>M_VendorName</formula1>
      <formula2>0</formula2>
    </dataValidation>
    <dataValidation type="list" allowBlank="1" errorTitle="Not in master" error="Value must be chosen from the master list." promptTitle="Master-driven list" prompt="Select from L_FabricStage" sqref="E6:E500" xr:uid="{00000000-0002-0000-1200-000003000000}">
      <formula1>L_FabricStage</formula1>
      <formula2>0</formula2>
    </dataValidation>
    <dataValidation type="list" allowBlank="1" errorTitle="Not in master" error="Value must be chosen from the master list." promptTitle="Master-driven list" prompt="Select from L_UOM" sqref="G6:G500" xr:uid="{00000000-0002-0000-1200-000004000000}">
      <formula1>L_UOM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L13"/>
  <sheetViews>
    <sheetView showGridLines="0" topLeftCell="D1" zoomScaleNormal="100" workbookViewId="0">
      <pane ySplit="6" topLeftCell="A7" activePane="bottomLeft" state="frozen"/>
      <selection pane="bottomLeft" activeCell="B6" sqref="B6:B10"/>
    </sheetView>
  </sheetViews>
  <sheetFormatPr defaultColWidth="8.5546875" defaultRowHeight="14.4" x14ac:dyDescent="0.3"/>
  <cols>
    <col min="1" max="6" width="32" customWidth="1"/>
    <col min="7" max="7" width="27" customWidth="1"/>
    <col min="8" max="8" width="26" customWidth="1"/>
    <col min="9" max="9" width="23" customWidth="1"/>
    <col min="10" max="10" width="15" customWidth="1"/>
  </cols>
  <sheetData>
    <row r="1" spans="1:12" ht="21" customHeight="1" x14ac:dyDescent="0.3">
      <c r="A1" s="4" t="s">
        <v>699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1" customHeight="1" x14ac:dyDescent="0.3">
      <c r="A2" s="2"/>
      <c r="C2" s="118" t="s">
        <v>700</v>
      </c>
      <c r="D2" s="118"/>
      <c r="E2" s="118"/>
      <c r="F2" s="118"/>
      <c r="G2" s="118"/>
      <c r="H2" s="118"/>
      <c r="I2" s="118"/>
      <c r="J2" s="118"/>
      <c r="K2" s="118"/>
      <c r="L2" s="118"/>
    </row>
    <row r="3" spans="1:12" ht="12" customHeight="1" x14ac:dyDescent="0.3"/>
    <row r="4" spans="1:12" ht="30" customHeight="1" x14ac:dyDescent="0.3">
      <c r="A4" s="5" t="s">
        <v>519</v>
      </c>
      <c r="B4" s="5" t="s">
        <v>487</v>
      </c>
      <c r="C4" s="5" t="s">
        <v>518</v>
      </c>
      <c r="D4" s="5" t="s">
        <v>701</v>
      </c>
      <c r="E4" s="5" t="s">
        <v>702</v>
      </c>
      <c r="F4" s="5" t="s">
        <v>703</v>
      </c>
      <c r="G4" s="5" t="s">
        <v>704</v>
      </c>
      <c r="H4" s="5" t="s">
        <v>705</v>
      </c>
      <c r="I4" s="5" t="s">
        <v>706</v>
      </c>
    </row>
    <row r="5" spans="1:12" ht="14.25" customHeight="1" x14ac:dyDescent="0.3">
      <c r="A5" s="34" t="s">
        <v>277</v>
      </c>
      <c r="B5" s="34" t="s">
        <v>277</v>
      </c>
      <c r="C5" s="34" t="s">
        <v>277</v>
      </c>
      <c r="D5" s="34" t="s">
        <v>277</v>
      </c>
      <c r="E5" s="34" t="s">
        <v>277</v>
      </c>
      <c r="F5" s="34" t="s">
        <v>277</v>
      </c>
      <c r="G5" s="11" t="s">
        <v>357</v>
      </c>
      <c r="H5" s="11" t="s">
        <v>357</v>
      </c>
      <c r="I5" s="34" t="s">
        <v>277</v>
      </c>
    </row>
    <row r="6" spans="1:12" ht="28.5" customHeight="1" x14ac:dyDescent="0.3">
      <c r="E6" s="36" t="s">
        <v>108</v>
      </c>
      <c r="F6" s="36" t="s">
        <v>73</v>
      </c>
      <c r="G6" s="35" t="s">
        <v>539</v>
      </c>
    </row>
    <row r="7" spans="1:12" ht="14.25" customHeight="1" x14ac:dyDescent="0.3">
      <c r="A7" s="24">
        <v>46245</v>
      </c>
      <c r="B7" s="7" t="s">
        <v>498</v>
      </c>
      <c r="C7" s="7" t="s">
        <v>62</v>
      </c>
      <c r="D7" s="7" t="s">
        <v>108</v>
      </c>
      <c r="E7" s="7" t="s">
        <v>73</v>
      </c>
      <c r="F7" s="7" t="s">
        <v>70</v>
      </c>
      <c r="G7" s="7"/>
      <c r="H7" s="7"/>
      <c r="I7" s="24">
        <v>46246</v>
      </c>
    </row>
    <row r="8" spans="1:12" ht="14.25" customHeight="1" x14ac:dyDescent="0.3">
      <c r="A8" s="24">
        <v>46249</v>
      </c>
      <c r="B8" s="7" t="s">
        <v>502</v>
      </c>
      <c r="C8" s="7" t="s">
        <v>99</v>
      </c>
      <c r="D8" s="7" t="s">
        <v>108</v>
      </c>
      <c r="E8" s="7" t="s">
        <v>73</v>
      </c>
      <c r="F8" s="7" t="s">
        <v>70</v>
      </c>
      <c r="G8" s="7"/>
      <c r="H8" s="7"/>
      <c r="I8" s="24">
        <v>46250</v>
      </c>
    </row>
    <row r="9" spans="1:12" ht="14.25" customHeight="1" x14ac:dyDescent="0.3">
      <c r="A9" s="24">
        <v>46251</v>
      </c>
      <c r="B9" s="7" t="s">
        <v>503</v>
      </c>
      <c r="C9" s="7" t="s">
        <v>136</v>
      </c>
      <c r="D9" s="7" t="s">
        <v>108</v>
      </c>
      <c r="E9" s="7" t="s">
        <v>73</v>
      </c>
      <c r="F9" s="7" t="s">
        <v>105</v>
      </c>
      <c r="G9" s="7" t="s">
        <v>707</v>
      </c>
      <c r="H9" s="7" t="s">
        <v>708</v>
      </c>
      <c r="I9" s="8"/>
    </row>
    <row r="10" spans="1:12" ht="14.25" customHeight="1" x14ac:dyDescent="0.3">
      <c r="A10" s="24">
        <v>46252</v>
      </c>
      <c r="B10" s="7" t="s">
        <v>503</v>
      </c>
      <c r="C10" s="7" t="s">
        <v>136</v>
      </c>
      <c r="D10" s="7" t="s">
        <v>108</v>
      </c>
      <c r="E10" s="7" t="s">
        <v>73</v>
      </c>
      <c r="F10" s="7" t="s">
        <v>70</v>
      </c>
      <c r="G10" s="7"/>
      <c r="H10" s="7" t="s">
        <v>709</v>
      </c>
      <c r="I10" s="24">
        <v>46252</v>
      </c>
    </row>
    <row r="11" spans="1:12" ht="14.25" customHeight="1" x14ac:dyDescent="0.3">
      <c r="A11" s="24">
        <v>46255</v>
      </c>
      <c r="B11" s="7" t="s">
        <v>507</v>
      </c>
      <c r="C11" s="7" t="s">
        <v>162</v>
      </c>
      <c r="D11" s="7" t="s">
        <v>108</v>
      </c>
      <c r="E11" s="7" t="s">
        <v>73</v>
      </c>
      <c r="F11" s="7" t="s">
        <v>105</v>
      </c>
      <c r="G11" s="7" t="s">
        <v>710</v>
      </c>
      <c r="H11" s="7" t="s">
        <v>711</v>
      </c>
      <c r="I11" s="8"/>
    </row>
    <row r="12" spans="1:12" ht="14.25" customHeight="1" x14ac:dyDescent="0.3">
      <c r="A12" s="24">
        <v>46256</v>
      </c>
      <c r="B12" s="7" t="s">
        <v>507</v>
      </c>
      <c r="C12" s="7" t="s">
        <v>162</v>
      </c>
      <c r="D12" s="7" t="s">
        <v>108</v>
      </c>
      <c r="E12" s="7" t="s">
        <v>73</v>
      </c>
      <c r="F12" s="7" t="s">
        <v>70</v>
      </c>
      <c r="G12" s="7"/>
      <c r="H12" s="7" t="s">
        <v>709</v>
      </c>
      <c r="I12" s="24">
        <v>46257</v>
      </c>
    </row>
    <row r="13" spans="1:12" ht="14.25" customHeight="1" x14ac:dyDescent="0.3">
      <c r="A13" s="24">
        <v>46258</v>
      </c>
      <c r="B13" s="7" t="s">
        <v>510</v>
      </c>
      <c r="C13" s="7" t="s">
        <v>186</v>
      </c>
      <c r="D13" s="7" t="s">
        <v>108</v>
      </c>
      <c r="E13" s="7" t="s">
        <v>73</v>
      </c>
      <c r="F13" s="7" t="s">
        <v>68</v>
      </c>
      <c r="G13" s="7"/>
      <c r="H13" s="7" t="s">
        <v>712</v>
      </c>
      <c r="I13" s="8"/>
    </row>
  </sheetData>
  <mergeCells count="2">
    <mergeCell ref="C1:L1"/>
    <mergeCell ref="C2:L2"/>
  </mergeCells>
  <dataValidations count="4">
    <dataValidation type="list" allowBlank="1" errorTitle="Not in master" error="Value must be chosen from the master list." promptTitle="Master-driven list" prompt="Select from M_OrderNo" sqref="B7:B500" xr:uid="{00000000-0002-0000-13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L_ContainerNo" sqref="C7:C500" xr:uid="{00000000-0002-0000-1300-000001000000}">
      <formula1>L_ContainerNo</formula1>
      <formula2>0</formula2>
    </dataValidation>
    <dataValidation type="list" allowBlank="1" errorTitle="Not in master" error="Value must be chosen from the master list." promptTitle="Master-driven list" prompt="Select from L_AuthorisedBy" sqref="D7:E500" xr:uid="{00000000-0002-0000-1300-000002000000}">
      <formula1>L_AuthorisedBy</formula1>
      <formula2>0</formula2>
    </dataValidation>
    <dataValidation type="list" allowBlank="1" errorTitle="Not in master" error="Value must be chosen from the master list." promptTitle="Master-driven list" prompt="Select from L_StatusApproval" sqref="F7:F500" xr:uid="{00000000-0002-0000-1300-000003000000}">
      <formula1>L_StatusApproval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N13"/>
  <sheetViews>
    <sheetView topLeftCell="B1" zoomScaleNormal="100" workbookViewId="0">
      <pane ySplit="6" topLeftCell="A7" activePane="bottomLeft" state="frozen"/>
      <selection pane="bottomLeft" activeCell="L7" sqref="L7"/>
    </sheetView>
  </sheetViews>
  <sheetFormatPr defaultColWidth="8.5546875" defaultRowHeight="14.4" x14ac:dyDescent="0.3"/>
  <cols>
    <col min="1" max="1" width="21" customWidth="1"/>
    <col min="2" max="2" width="12" customWidth="1"/>
    <col min="3" max="4" width="13" customWidth="1"/>
    <col min="5" max="5" width="17" customWidth="1"/>
    <col min="6" max="7" width="21" customWidth="1"/>
    <col min="8" max="8" width="20" customWidth="1"/>
    <col min="9" max="9" width="15.6640625" customWidth="1"/>
    <col min="10" max="10" width="14" customWidth="1"/>
    <col min="11" max="11" width="13" customWidth="1"/>
    <col min="12" max="12" width="24" customWidth="1"/>
  </cols>
  <sheetData>
    <row r="1" spans="1:14" ht="21" customHeight="1" x14ac:dyDescent="0.3">
      <c r="A1" s="22" t="s">
        <v>713</v>
      </c>
      <c r="F1" s="116" t="s">
        <v>1</v>
      </c>
      <c r="G1" s="116"/>
      <c r="H1" s="116"/>
      <c r="I1" s="116"/>
      <c r="J1" s="116"/>
      <c r="K1" s="116"/>
      <c r="N1" s="28"/>
    </row>
    <row r="2" spans="1:14" ht="21" customHeight="1" x14ac:dyDescent="0.3">
      <c r="F2" s="118" t="s">
        <v>714</v>
      </c>
      <c r="G2" s="118"/>
      <c r="H2" s="118"/>
      <c r="I2" s="118"/>
      <c r="J2" s="118"/>
      <c r="K2" s="118"/>
    </row>
    <row r="4" spans="1:14" ht="30" customHeight="1" x14ac:dyDescent="0.3">
      <c r="A4" s="5" t="s">
        <v>519</v>
      </c>
      <c r="B4" s="5" t="s">
        <v>715</v>
      </c>
      <c r="C4" s="5" t="s">
        <v>487</v>
      </c>
      <c r="D4" s="5" t="s">
        <v>422</v>
      </c>
      <c r="E4" s="5" t="s">
        <v>716</v>
      </c>
      <c r="F4" s="5" t="s">
        <v>717</v>
      </c>
      <c r="G4" s="152" t="s">
        <v>966</v>
      </c>
      <c r="H4" s="5" t="s">
        <v>718</v>
      </c>
      <c r="I4" s="5" t="s">
        <v>719</v>
      </c>
      <c r="J4" s="5" t="s">
        <v>518</v>
      </c>
      <c r="K4" s="5" t="s">
        <v>266</v>
      </c>
      <c r="L4" s="5" t="s">
        <v>356</v>
      </c>
    </row>
    <row r="5" spans="1:14" ht="14.25" customHeight="1" x14ac:dyDescent="0.3">
      <c r="A5" s="43" t="s">
        <v>277</v>
      </c>
      <c r="B5" s="30" t="s">
        <v>278</v>
      </c>
      <c r="C5" s="29" t="s">
        <v>277</v>
      </c>
      <c r="D5" s="43" t="s">
        <v>277</v>
      </c>
      <c r="E5" s="43" t="s">
        <v>277</v>
      </c>
      <c r="F5" s="144" t="s">
        <v>277</v>
      </c>
      <c r="G5" s="144" t="s">
        <v>277</v>
      </c>
      <c r="H5" s="30" t="s">
        <v>278</v>
      </c>
      <c r="I5" s="30" t="s">
        <v>278</v>
      </c>
      <c r="J5" s="43" t="s">
        <v>537</v>
      </c>
      <c r="K5" s="29" t="s">
        <v>279</v>
      </c>
      <c r="L5" s="30" t="s">
        <v>357</v>
      </c>
    </row>
    <row r="6" spans="1:14" ht="28.5" customHeight="1" x14ac:dyDescent="0.3">
      <c r="A6" s="8"/>
      <c r="B6" s="29"/>
      <c r="C6" s="8"/>
      <c r="D6" s="8"/>
      <c r="E6" s="8"/>
      <c r="F6" s="153"/>
      <c r="G6" s="153"/>
      <c r="H6" s="154"/>
      <c r="I6" s="8"/>
      <c r="J6" s="7" t="s">
        <v>720</v>
      </c>
      <c r="K6" s="8"/>
      <c r="L6" s="8"/>
    </row>
    <row r="7" spans="1:14" ht="14.25" customHeight="1" x14ac:dyDescent="0.3">
      <c r="A7" s="24">
        <v>46247</v>
      </c>
      <c r="B7" s="7" t="s">
        <v>611</v>
      </c>
      <c r="C7" s="7" t="s">
        <v>498</v>
      </c>
      <c r="D7" s="7" t="s">
        <v>430</v>
      </c>
      <c r="E7" s="14">
        <v>5000</v>
      </c>
      <c r="F7" s="7" t="s">
        <v>61</v>
      </c>
      <c r="G7" s="14">
        <v>2500</v>
      </c>
      <c r="H7" s="14">
        <v>2500</v>
      </c>
      <c r="I7" s="14">
        <v>2500</v>
      </c>
      <c r="J7" s="43" t="str">
        <f>IFERROR(INDEX(Planning!$F$7:$F$500,MATCH($C7,Planning!$A$7:$A$500,0)),"")</f>
        <v>CN-91</v>
      </c>
      <c r="K7" s="7" t="s">
        <v>139</v>
      </c>
      <c r="L7" s="7" t="s">
        <v>721</v>
      </c>
    </row>
    <row r="8" spans="1:14" ht="14.25" customHeight="1" x14ac:dyDescent="0.3">
      <c r="A8" s="24">
        <v>46248</v>
      </c>
      <c r="B8" s="7" t="s">
        <v>722</v>
      </c>
      <c r="C8" s="7" t="s">
        <v>498</v>
      </c>
      <c r="D8" s="7" t="s">
        <v>430</v>
      </c>
      <c r="E8" s="14">
        <v>5000</v>
      </c>
      <c r="F8" s="7" t="s">
        <v>61</v>
      </c>
      <c r="G8" s="14">
        <v>2500</v>
      </c>
      <c r="H8" s="14">
        <v>2500</v>
      </c>
      <c r="I8" s="14">
        <v>2500</v>
      </c>
      <c r="J8" s="43" t="str">
        <f>IFERROR(INDEX(Planning!$F$7:$F$500,MATCH($C8,Planning!$A$7:$A$500,0)),"")</f>
        <v>CN-91</v>
      </c>
      <c r="K8" s="7" t="s">
        <v>139</v>
      </c>
      <c r="L8" s="7" t="s">
        <v>723</v>
      </c>
    </row>
    <row r="9" spans="1:14" ht="14.25" customHeight="1" x14ac:dyDescent="0.3">
      <c r="A9" s="24">
        <v>46250</v>
      </c>
      <c r="B9" s="7" t="s">
        <v>724</v>
      </c>
      <c r="C9" s="7" t="s">
        <v>502</v>
      </c>
      <c r="D9" s="7" t="s">
        <v>434</v>
      </c>
      <c r="E9" s="14">
        <v>7000</v>
      </c>
      <c r="F9" s="7" t="s">
        <v>98</v>
      </c>
      <c r="G9" s="14">
        <v>3500</v>
      </c>
      <c r="H9" s="14">
        <v>3500</v>
      </c>
      <c r="I9" s="14">
        <v>3500</v>
      </c>
      <c r="J9" s="43" t="str">
        <f>IFERROR(INDEX(Planning!$F$7:$F$500,MATCH($C9,Planning!$A$7:$A$500,0)),"")</f>
        <v>CN-92</v>
      </c>
      <c r="K9" s="7" t="s">
        <v>139</v>
      </c>
      <c r="L9" s="7" t="s">
        <v>721</v>
      </c>
    </row>
    <row r="10" spans="1:14" ht="14.25" customHeight="1" x14ac:dyDescent="0.3">
      <c r="A10" s="24">
        <v>46252</v>
      </c>
      <c r="B10" s="7" t="s">
        <v>725</v>
      </c>
      <c r="C10" s="7" t="s">
        <v>502</v>
      </c>
      <c r="D10" s="7" t="s">
        <v>434</v>
      </c>
      <c r="E10" s="14">
        <v>7000</v>
      </c>
      <c r="F10" s="7" t="s">
        <v>98</v>
      </c>
      <c r="G10" s="14">
        <v>3500</v>
      </c>
      <c r="H10" s="14">
        <v>3500</v>
      </c>
      <c r="I10" s="14">
        <v>3500</v>
      </c>
      <c r="J10" s="43" t="str">
        <f>IFERROR(INDEX(Planning!$F$7:$F$500,MATCH($C10,Planning!$A$7:$A$500,0)),"")</f>
        <v>CN-92</v>
      </c>
      <c r="K10" s="7" t="s">
        <v>103</v>
      </c>
      <c r="L10" s="7" t="s">
        <v>723</v>
      </c>
    </row>
    <row r="11" spans="1:14" ht="14.25" customHeight="1" x14ac:dyDescent="0.3">
      <c r="A11" s="24">
        <v>46253</v>
      </c>
      <c r="B11" s="7" t="s">
        <v>726</v>
      </c>
      <c r="C11" s="7" t="s">
        <v>503</v>
      </c>
      <c r="D11" s="7" t="s">
        <v>437</v>
      </c>
      <c r="E11" s="14">
        <v>4000</v>
      </c>
      <c r="F11" s="7" t="s">
        <v>135</v>
      </c>
      <c r="G11" s="14">
        <v>2000</v>
      </c>
      <c r="H11" s="14">
        <v>2000</v>
      </c>
      <c r="I11" s="14">
        <v>2000</v>
      </c>
      <c r="J11" s="43" t="str">
        <f>IFERROR(INDEX(Planning!$F$7:$F$500,MATCH($C11,Planning!$A$7:$A$500,0)),"")</f>
        <v>CN-93</v>
      </c>
      <c r="K11" s="7" t="s">
        <v>103</v>
      </c>
      <c r="L11" s="7" t="s">
        <v>727</v>
      </c>
    </row>
    <row r="12" spans="1:14" ht="14.25" customHeight="1" x14ac:dyDescent="0.3">
      <c r="A12" s="24">
        <v>46256</v>
      </c>
      <c r="B12" s="7" t="s">
        <v>728</v>
      </c>
      <c r="C12" s="7" t="s">
        <v>507</v>
      </c>
      <c r="D12" s="7" t="s">
        <v>441</v>
      </c>
      <c r="E12" s="14">
        <v>10000</v>
      </c>
      <c r="F12" s="7" t="s">
        <v>161</v>
      </c>
      <c r="G12" s="14">
        <v>5000</v>
      </c>
      <c r="H12" s="14">
        <v>5000</v>
      </c>
      <c r="I12" s="14">
        <v>5000</v>
      </c>
      <c r="J12" s="43" t="str">
        <f>IFERROR(INDEX(Planning!$F$7:$F$500,MATCH($C12,Planning!$A$7:$A$500,0)),"")</f>
        <v>CN-94</v>
      </c>
      <c r="K12" s="7" t="s">
        <v>103</v>
      </c>
      <c r="L12" s="7" t="s">
        <v>729</v>
      </c>
    </row>
    <row r="13" spans="1:14" ht="14.25" customHeight="1" x14ac:dyDescent="0.3">
      <c r="A13" s="24">
        <v>46259</v>
      </c>
      <c r="B13" s="7" t="s">
        <v>730</v>
      </c>
      <c r="C13" s="7" t="s">
        <v>510</v>
      </c>
      <c r="D13" s="7" t="s">
        <v>448</v>
      </c>
      <c r="E13" s="14">
        <v>6000</v>
      </c>
      <c r="F13" s="7" t="s">
        <v>61</v>
      </c>
      <c r="G13" s="14">
        <v>3000</v>
      </c>
      <c r="H13" s="14">
        <v>3000</v>
      </c>
      <c r="I13" s="14">
        <v>3000</v>
      </c>
      <c r="J13" s="43" t="str">
        <f>IFERROR(INDEX(Planning!$F$7:$F$500,MATCH($C13,Planning!$A$7:$A$500,0)),"")</f>
        <v>CN-95</v>
      </c>
      <c r="K13" s="7" t="s">
        <v>68</v>
      </c>
      <c r="L13" s="7" t="s">
        <v>731</v>
      </c>
    </row>
  </sheetData>
  <mergeCells count="2">
    <mergeCell ref="F1:K1"/>
    <mergeCell ref="F2:K2"/>
  </mergeCells>
  <dataValidations count="5">
    <dataValidation type="list" allowBlank="1" errorTitle="Not in master" error="Value must be chosen from the master list." promptTitle="Master-driven list" prompt="Select from M_OrderNo" sqref="C7:C500" xr:uid="{00000000-0002-0000-14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D7:D500" xr:uid="{00000000-0002-0000-14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StitchingUnit" sqref="F7:F500 G14:G500" xr:uid="{00000000-0002-0000-1400-000002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L_ContainerNo" sqref="J7:J500" xr:uid="{00000000-0002-0000-1400-000003000000}">
      <formula1>L_ContainerNo</formula1>
      <formula2>0</formula2>
    </dataValidation>
    <dataValidation type="list" allowBlank="1" errorTitle="Not in master" error="Value must be chosen from the master list." promptTitle="Master-driven list" prompt="Select from L_StatusGeneral" sqref="K7:K500" xr:uid="{00000000-0002-0000-1400-000004000000}">
      <formula1>L_StatusGeneral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J13"/>
  <sheetViews>
    <sheetView zoomScaleNormal="100" workbookViewId="0">
      <pane ySplit="6" topLeftCell="A7" activePane="bottomLeft" state="frozen"/>
      <selection pane="bottomLeft" activeCell="K20" sqref="K20"/>
    </sheetView>
  </sheetViews>
  <sheetFormatPr defaultColWidth="8.5546875" defaultRowHeight="14.4" x14ac:dyDescent="0.3"/>
  <cols>
    <col min="1" max="2" width="21" customWidth="1"/>
    <col min="3" max="3" width="10.5546875" customWidth="1"/>
    <col min="4" max="4" width="24" customWidth="1"/>
    <col min="5" max="5" width="18" customWidth="1"/>
    <col min="6" max="7" width="13.6640625" customWidth="1"/>
    <col min="8" max="8" width="25" customWidth="1"/>
    <col min="9" max="9" width="13.5546875" customWidth="1"/>
    <col min="10" max="10" width="10.5546875" customWidth="1"/>
  </cols>
  <sheetData>
    <row r="1" spans="1:10" ht="21" customHeight="1" x14ac:dyDescent="0.3">
      <c r="A1" s="22" t="s">
        <v>732</v>
      </c>
      <c r="D1" s="116" t="s">
        <v>1</v>
      </c>
      <c r="E1" s="116"/>
      <c r="F1" s="116"/>
      <c r="G1" s="116"/>
      <c r="H1" s="116"/>
      <c r="J1" s="28"/>
    </row>
    <row r="2" spans="1:10" ht="21" customHeight="1" x14ac:dyDescent="0.3">
      <c r="D2" s="118" t="s">
        <v>733</v>
      </c>
      <c r="E2" s="118"/>
      <c r="F2" s="118"/>
      <c r="G2" s="118"/>
      <c r="H2" s="118"/>
    </row>
    <row r="3" spans="1:10" ht="18" customHeight="1" x14ac:dyDescent="0.35">
      <c r="H3" s="15"/>
      <c r="I3" s="15"/>
      <c r="J3" s="15"/>
    </row>
    <row r="4" spans="1:10" ht="15" customHeight="1" x14ac:dyDescent="0.3">
      <c r="A4" s="5" t="s">
        <v>734</v>
      </c>
      <c r="B4" s="5" t="s">
        <v>519</v>
      </c>
      <c r="C4" s="5" t="s">
        <v>487</v>
      </c>
      <c r="D4" s="5" t="s">
        <v>422</v>
      </c>
      <c r="E4" s="5" t="s">
        <v>520</v>
      </c>
      <c r="F4" s="5" t="s">
        <v>735</v>
      </c>
      <c r="G4" s="5" t="s">
        <v>736</v>
      </c>
      <c r="H4" s="5" t="s">
        <v>356</v>
      </c>
    </row>
    <row r="5" spans="1:10" ht="14.25" customHeight="1" x14ac:dyDescent="0.3">
      <c r="A5" s="17" t="s">
        <v>277</v>
      </c>
      <c r="B5" s="17" t="s">
        <v>277</v>
      </c>
      <c r="C5" s="17" t="s">
        <v>277</v>
      </c>
      <c r="D5" s="17" t="s">
        <v>277</v>
      </c>
      <c r="E5" s="145" t="s">
        <v>277</v>
      </c>
      <c r="F5" s="18" t="s">
        <v>278</v>
      </c>
      <c r="G5" s="17" t="s">
        <v>277</v>
      </c>
      <c r="H5" s="18" t="s">
        <v>357</v>
      </c>
    </row>
    <row r="6" spans="1:10" ht="14.25" customHeight="1" x14ac:dyDescent="0.3">
      <c r="C6" s="46"/>
      <c r="D6" s="22"/>
    </row>
    <row r="7" spans="1:10" ht="14.25" customHeight="1" x14ac:dyDescent="0.3">
      <c r="A7" s="7" t="s">
        <v>61</v>
      </c>
      <c r="B7" s="24">
        <v>46251</v>
      </c>
      <c r="C7" s="7" t="s">
        <v>498</v>
      </c>
      <c r="D7" s="7" t="s">
        <v>430</v>
      </c>
      <c r="E7" s="14">
        <v>2500</v>
      </c>
      <c r="F7" s="14">
        <v>2380</v>
      </c>
      <c r="G7" s="44">
        <f t="shared" ref="G7:G13" si="0">E7-F7</f>
        <v>120</v>
      </c>
      <c r="H7" s="7" t="s">
        <v>737</v>
      </c>
    </row>
    <row r="8" spans="1:10" ht="14.25" customHeight="1" x14ac:dyDescent="0.3">
      <c r="A8" s="7" t="s">
        <v>61</v>
      </c>
      <c r="B8" s="24">
        <v>46252</v>
      </c>
      <c r="C8" s="7" t="s">
        <v>498</v>
      </c>
      <c r="D8" s="7" t="s">
        <v>430</v>
      </c>
      <c r="E8" s="14">
        <v>2500</v>
      </c>
      <c r="F8" s="14">
        <v>2450</v>
      </c>
      <c r="G8" s="44">
        <f t="shared" si="0"/>
        <v>50</v>
      </c>
      <c r="H8" s="7"/>
    </row>
    <row r="9" spans="1:10" ht="14.25" customHeight="1" x14ac:dyDescent="0.3">
      <c r="A9" s="7" t="s">
        <v>98</v>
      </c>
      <c r="B9" s="24">
        <v>46254</v>
      </c>
      <c r="C9" s="7" t="s">
        <v>502</v>
      </c>
      <c r="D9" s="7" t="s">
        <v>434</v>
      </c>
      <c r="E9" s="14">
        <v>3500</v>
      </c>
      <c r="F9" s="14">
        <v>3320</v>
      </c>
      <c r="G9" s="44">
        <f t="shared" si="0"/>
        <v>180</v>
      </c>
      <c r="H9" s="7" t="s">
        <v>738</v>
      </c>
    </row>
    <row r="10" spans="1:10" ht="14.25" customHeight="1" x14ac:dyDescent="0.3">
      <c r="A10" s="7" t="s">
        <v>98</v>
      </c>
      <c r="B10" s="24">
        <v>46256</v>
      </c>
      <c r="C10" s="7" t="s">
        <v>502</v>
      </c>
      <c r="D10" s="7" t="s">
        <v>434</v>
      </c>
      <c r="E10" s="14">
        <v>3500</v>
      </c>
      <c r="F10" s="14">
        <v>3410</v>
      </c>
      <c r="G10" s="44">
        <f t="shared" si="0"/>
        <v>90</v>
      </c>
      <c r="H10" s="7"/>
    </row>
    <row r="11" spans="1:10" ht="14.25" customHeight="1" x14ac:dyDescent="0.3">
      <c r="A11" s="7" t="s">
        <v>135</v>
      </c>
      <c r="B11" s="24">
        <v>46257</v>
      </c>
      <c r="C11" s="7" t="s">
        <v>503</v>
      </c>
      <c r="D11" s="7" t="s">
        <v>437</v>
      </c>
      <c r="E11" s="14">
        <v>2000</v>
      </c>
      <c r="F11" s="14">
        <v>1860</v>
      </c>
      <c r="G11" s="44">
        <f t="shared" si="0"/>
        <v>140</v>
      </c>
      <c r="H11" s="7" t="s">
        <v>739</v>
      </c>
    </row>
    <row r="12" spans="1:10" ht="14.25" customHeight="1" x14ac:dyDescent="0.3">
      <c r="A12" s="7" t="s">
        <v>161</v>
      </c>
      <c r="B12" s="24">
        <v>46259</v>
      </c>
      <c r="C12" s="7" t="s">
        <v>507</v>
      </c>
      <c r="D12" s="7" t="s">
        <v>441</v>
      </c>
      <c r="E12" s="14">
        <v>5000</v>
      </c>
      <c r="F12" s="14">
        <v>4780</v>
      </c>
      <c r="G12" s="44">
        <f t="shared" si="0"/>
        <v>220</v>
      </c>
      <c r="H12" s="7" t="s">
        <v>740</v>
      </c>
    </row>
    <row r="13" spans="1:10" ht="14.25" customHeight="1" x14ac:dyDescent="0.3">
      <c r="A13" s="7" t="s">
        <v>61</v>
      </c>
      <c r="B13" s="24">
        <v>46261</v>
      </c>
      <c r="C13" s="7" t="s">
        <v>510</v>
      </c>
      <c r="D13" s="7" t="s">
        <v>448</v>
      </c>
      <c r="E13" s="14">
        <v>3000</v>
      </c>
      <c r="F13" s="14">
        <v>2890</v>
      </c>
      <c r="G13" s="44">
        <f t="shared" si="0"/>
        <v>110</v>
      </c>
      <c r="H13" s="7" t="s">
        <v>741</v>
      </c>
    </row>
  </sheetData>
  <mergeCells count="2">
    <mergeCell ref="D1:H1"/>
    <mergeCell ref="D2:H2"/>
  </mergeCells>
  <dataValidations count="3">
    <dataValidation type="list" allowBlank="1" errorTitle="Not in master" error="Value must be chosen from the master list." promptTitle="Master-driven list" prompt="Select from L_StitchingUnit" sqref="A7:A500" xr:uid="{00000000-0002-0000-1500-000000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M_OrderNo" sqref="C7:C500" xr:uid="{00000000-0002-0000-1500-000001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D7:D500" xr:uid="{00000000-0002-0000-1500-000002000000}">
      <formula1>M_StyleNo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N13"/>
  <sheetViews>
    <sheetView zoomScaleNormal="100" workbookViewId="0">
      <pane ySplit="6" topLeftCell="A7" activePane="bottomLeft" state="frozen"/>
      <selection pane="bottomLeft" activeCell="C5" sqref="C5"/>
    </sheetView>
  </sheetViews>
  <sheetFormatPr defaultColWidth="8.5546875" defaultRowHeight="14.4" x14ac:dyDescent="0.3"/>
  <cols>
    <col min="1" max="1" width="21" customWidth="1"/>
    <col min="2" max="3" width="10.5546875" customWidth="1"/>
    <col min="4" max="5" width="13" customWidth="1"/>
    <col min="6" max="6" width="25" customWidth="1"/>
    <col min="7" max="12" width="13" customWidth="1"/>
  </cols>
  <sheetData>
    <row r="1" spans="1:14" ht="21" customHeight="1" x14ac:dyDescent="0.3">
      <c r="A1" s="22" t="s">
        <v>732</v>
      </c>
      <c r="F1" s="116" t="s">
        <v>1</v>
      </c>
      <c r="G1" s="116"/>
      <c r="H1" s="116"/>
      <c r="N1" s="28"/>
    </row>
    <row r="2" spans="1:14" ht="21" customHeight="1" x14ac:dyDescent="0.3">
      <c r="F2" s="118" t="s">
        <v>742</v>
      </c>
      <c r="G2" s="118"/>
      <c r="H2" s="118"/>
    </row>
    <row r="3" spans="1:14" ht="21" customHeight="1" x14ac:dyDescent="0.3">
      <c r="F3" s="47"/>
      <c r="G3" s="42"/>
      <c r="H3" s="42"/>
    </row>
    <row r="4" spans="1:14" s="20" customFormat="1" ht="15" customHeight="1" x14ac:dyDescent="0.3">
      <c r="A4" s="5" t="s">
        <v>519</v>
      </c>
      <c r="B4" s="5" t="s">
        <v>743</v>
      </c>
      <c r="C4" s="5" t="s">
        <v>744</v>
      </c>
      <c r="D4" s="5">
        <v>10</v>
      </c>
      <c r="E4" s="5">
        <v>11</v>
      </c>
      <c r="F4" s="5">
        <v>12</v>
      </c>
      <c r="G4" s="5">
        <v>1</v>
      </c>
      <c r="H4" s="5">
        <v>2</v>
      </c>
      <c r="I4" s="5">
        <v>3</v>
      </c>
      <c r="J4" s="5">
        <v>4</v>
      </c>
      <c r="K4" s="5" t="s">
        <v>745</v>
      </c>
      <c r="L4" s="48">
        <v>0.27083333333333298</v>
      </c>
    </row>
    <row r="5" spans="1:14" s="20" customFormat="1" ht="14.25" customHeight="1" x14ac:dyDescent="0.3">
      <c r="A5" s="49" t="s">
        <v>746</v>
      </c>
      <c r="B5" s="143" t="s">
        <v>277</v>
      </c>
      <c r="C5" s="50" t="s">
        <v>279</v>
      </c>
      <c r="D5" s="51" t="s">
        <v>278</v>
      </c>
      <c r="E5" s="51" t="s">
        <v>278</v>
      </c>
      <c r="F5" s="51" t="s">
        <v>278</v>
      </c>
      <c r="G5" s="51" t="s">
        <v>278</v>
      </c>
      <c r="H5" s="51" t="s">
        <v>278</v>
      </c>
      <c r="I5" s="51" t="s">
        <v>278</v>
      </c>
      <c r="J5" s="51" t="s">
        <v>278</v>
      </c>
      <c r="K5" s="51" t="s">
        <v>278</v>
      </c>
      <c r="L5" s="51" t="s">
        <v>278</v>
      </c>
    </row>
    <row r="6" spans="1:14" ht="14.25" customHeight="1" x14ac:dyDescent="0.3">
      <c r="A6" s="8"/>
      <c r="B6" s="8"/>
      <c r="C6" s="45"/>
      <c r="D6" s="129" t="s">
        <v>952</v>
      </c>
      <c r="E6" s="130"/>
      <c r="F6" s="130"/>
      <c r="G6" s="130"/>
      <c r="H6" s="130"/>
      <c r="I6" s="130"/>
      <c r="J6" s="130"/>
      <c r="K6" s="130"/>
      <c r="L6" s="130"/>
    </row>
    <row r="7" spans="1:14" ht="14.25" customHeight="1" x14ac:dyDescent="0.3">
      <c r="A7" s="24">
        <v>46251</v>
      </c>
      <c r="B7" s="7" t="s">
        <v>498</v>
      </c>
      <c r="C7" s="7" t="s">
        <v>464</v>
      </c>
      <c r="D7" s="14">
        <v>42</v>
      </c>
      <c r="E7" s="14">
        <v>45</v>
      </c>
      <c r="F7" s="14">
        <v>40</v>
      </c>
      <c r="G7" s="14">
        <v>38</v>
      </c>
      <c r="H7" s="14">
        <v>44</v>
      </c>
      <c r="I7" s="14">
        <v>46</v>
      </c>
      <c r="J7" s="14">
        <v>43</v>
      </c>
      <c r="K7" s="14">
        <v>40</v>
      </c>
      <c r="L7" s="14">
        <v>35</v>
      </c>
    </row>
    <row r="8" spans="1:14" ht="14.25" customHeight="1" x14ac:dyDescent="0.3">
      <c r="A8" s="24">
        <v>46252</v>
      </c>
      <c r="B8" s="7" t="s">
        <v>498</v>
      </c>
      <c r="C8" s="7" t="s">
        <v>464</v>
      </c>
      <c r="D8" s="14">
        <v>44</v>
      </c>
      <c r="E8" s="14">
        <v>46</v>
      </c>
      <c r="F8" s="14">
        <v>43</v>
      </c>
      <c r="G8" s="14">
        <v>40</v>
      </c>
      <c r="H8" s="14">
        <v>45</v>
      </c>
      <c r="I8" s="14">
        <v>47</v>
      </c>
      <c r="J8" s="14">
        <v>44</v>
      </c>
      <c r="K8" s="14">
        <v>42</v>
      </c>
      <c r="L8" s="14">
        <v>36</v>
      </c>
    </row>
    <row r="9" spans="1:14" ht="14.25" customHeight="1" x14ac:dyDescent="0.3">
      <c r="A9" s="24">
        <v>46254</v>
      </c>
      <c r="B9" s="7" t="s">
        <v>502</v>
      </c>
      <c r="C9" s="7" t="s">
        <v>465</v>
      </c>
      <c r="D9" s="14">
        <v>38</v>
      </c>
      <c r="E9" s="14">
        <v>41</v>
      </c>
      <c r="F9" s="14">
        <v>39</v>
      </c>
      <c r="G9" s="14">
        <v>36</v>
      </c>
      <c r="H9" s="14">
        <v>40</v>
      </c>
      <c r="I9" s="14">
        <v>42</v>
      </c>
      <c r="J9" s="14">
        <v>41</v>
      </c>
      <c r="K9" s="14">
        <v>38</v>
      </c>
      <c r="L9" s="14">
        <v>33</v>
      </c>
    </row>
    <row r="10" spans="1:14" ht="14.25" customHeight="1" x14ac:dyDescent="0.3">
      <c r="A10" s="24">
        <v>46256</v>
      </c>
      <c r="B10" s="7" t="s">
        <v>502</v>
      </c>
      <c r="C10" s="7" t="s">
        <v>465</v>
      </c>
      <c r="D10" s="14">
        <v>40</v>
      </c>
      <c r="E10" s="14">
        <v>43</v>
      </c>
      <c r="F10" s="14">
        <v>41</v>
      </c>
      <c r="G10" s="14">
        <v>38</v>
      </c>
      <c r="H10" s="14">
        <v>42</v>
      </c>
      <c r="I10" s="14">
        <v>44</v>
      </c>
      <c r="J10" s="14">
        <v>42</v>
      </c>
      <c r="K10" s="14">
        <v>40</v>
      </c>
      <c r="L10" s="14">
        <v>34</v>
      </c>
    </row>
    <row r="11" spans="1:14" ht="14.25" customHeight="1" x14ac:dyDescent="0.3">
      <c r="A11" s="24">
        <v>46257</v>
      </c>
      <c r="B11" s="7" t="s">
        <v>503</v>
      </c>
      <c r="C11" s="7" t="s">
        <v>464</v>
      </c>
      <c r="D11" s="14">
        <v>30</v>
      </c>
      <c r="E11" s="14">
        <v>33</v>
      </c>
      <c r="F11" s="14">
        <v>31</v>
      </c>
      <c r="G11" s="14">
        <v>29</v>
      </c>
      <c r="H11" s="14">
        <v>32</v>
      </c>
      <c r="I11" s="14">
        <v>34</v>
      </c>
      <c r="J11" s="14">
        <v>33</v>
      </c>
      <c r="K11" s="14">
        <v>31</v>
      </c>
      <c r="L11" s="14">
        <v>27</v>
      </c>
    </row>
    <row r="12" spans="1:14" ht="14.25" customHeight="1" x14ac:dyDescent="0.3">
      <c r="A12" s="24">
        <v>46259</v>
      </c>
      <c r="B12" s="7" t="s">
        <v>507</v>
      </c>
      <c r="C12" s="7" t="s">
        <v>465</v>
      </c>
      <c r="D12" s="14">
        <v>55</v>
      </c>
      <c r="E12" s="14">
        <v>58</v>
      </c>
      <c r="F12" s="14">
        <v>56</v>
      </c>
      <c r="G12" s="14">
        <v>52</v>
      </c>
      <c r="H12" s="14">
        <v>57</v>
      </c>
      <c r="I12" s="14">
        <v>59</v>
      </c>
      <c r="J12" s="14">
        <v>56</v>
      </c>
      <c r="K12" s="14">
        <v>54</v>
      </c>
      <c r="L12" s="14">
        <v>48</v>
      </c>
    </row>
    <row r="13" spans="1:14" ht="14.25" customHeight="1" x14ac:dyDescent="0.3">
      <c r="A13" s="24">
        <v>46261</v>
      </c>
      <c r="B13" s="7" t="s">
        <v>510</v>
      </c>
      <c r="C13" s="7" t="s">
        <v>464</v>
      </c>
      <c r="D13" s="14">
        <v>41</v>
      </c>
      <c r="E13" s="14">
        <v>44</v>
      </c>
      <c r="F13" s="14">
        <v>42</v>
      </c>
      <c r="G13" s="14">
        <v>39</v>
      </c>
      <c r="H13" s="14">
        <v>43</v>
      </c>
      <c r="I13" s="14">
        <v>45</v>
      </c>
      <c r="J13" s="14">
        <v>43</v>
      </c>
      <c r="K13" s="14">
        <v>41</v>
      </c>
      <c r="L13" s="14">
        <v>35</v>
      </c>
    </row>
  </sheetData>
  <mergeCells count="3">
    <mergeCell ref="F1:H1"/>
    <mergeCell ref="F2:H2"/>
    <mergeCell ref="D6:L6"/>
  </mergeCells>
  <dataValidations count="2">
    <dataValidation type="list" allowBlank="1" errorTitle="Not in master" error="Value must be chosen from the master list." promptTitle="Master-driven list" prompt="Select from M_OrderNo" sqref="B7:B500" xr:uid="{00000000-0002-0000-16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EmpID" sqref="C7:C500" xr:uid="{00000000-0002-0000-1600-000001000000}">
      <formula1>M_EmpID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L13"/>
  <sheetViews>
    <sheetView zoomScaleNormal="100" workbookViewId="0">
      <pane ySplit="6" topLeftCell="A7" activePane="bottomLeft" state="frozen"/>
      <selection pane="bottomLeft" activeCell="B5" sqref="B5"/>
    </sheetView>
  </sheetViews>
  <sheetFormatPr defaultColWidth="8.5546875" defaultRowHeight="14.4" x14ac:dyDescent="0.3"/>
  <cols>
    <col min="1" max="1" width="21" customWidth="1"/>
    <col min="2" max="2" width="13" customWidth="1"/>
    <col min="3" max="3" width="21" customWidth="1"/>
    <col min="4" max="4" width="31" customWidth="1"/>
    <col min="5" max="5" width="13" customWidth="1"/>
    <col min="6" max="6" width="17.44140625" customWidth="1"/>
    <col min="7" max="7" width="13" customWidth="1"/>
    <col min="8" max="8" width="20" customWidth="1"/>
    <col min="9" max="9" width="18" customWidth="1"/>
    <col min="10" max="10" width="20" customWidth="1"/>
  </cols>
  <sheetData>
    <row r="1" spans="1:12" ht="21" customHeight="1" x14ac:dyDescent="0.3">
      <c r="A1" s="22" t="s">
        <v>747</v>
      </c>
      <c r="D1" s="116" t="s">
        <v>1</v>
      </c>
      <c r="E1" s="116"/>
      <c r="F1" s="116"/>
      <c r="G1" s="116"/>
      <c r="L1" s="28"/>
    </row>
    <row r="2" spans="1:12" ht="21" customHeight="1" x14ac:dyDescent="0.3">
      <c r="D2" s="118" t="s">
        <v>748</v>
      </c>
      <c r="E2" s="118"/>
      <c r="F2" s="118"/>
      <c r="G2" s="118"/>
    </row>
    <row r="4" spans="1:12" ht="15" customHeight="1" x14ac:dyDescent="0.3">
      <c r="A4" s="5" t="s">
        <v>519</v>
      </c>
      <c r="B4" s="5" t="s">
        <v>487</v>
      </c>
      <c r="C4" s="5" t="s">
        <v>749</v>
      </c>
      <c r="D4" s="5" t="s">
        <v>750</v>
      </c>
      <c r="E4" s="5" t="s">
        <v>422</v>
      </c>
      <c r="F4" s="5" t="s">
        <v>31</v>
      </c>
      <c r="G4" s="5" t="s">
        <v>751</v>
      </c>
      <c r="H4" s="5" t="s">
        <v>752</v>
      </c>
      <c r="I4" s="5" t="s">
        <v>753</v>
      </c>
      <c r="J4" s="5" t="s">
        <v>754</v>
      </c>
    </row>
    <row r="5" spans="1:12" ht="14.25" customHeight="1" x14ac:dyDescent="0.3">
      <c r="A5" s="52" t="s">
        <v>277</v>
      </c>
      <c r="B5" s="46" t="s">
        <v>279</v>
      </c>
      <c r="C5" s="46" t="s">
        <v>279</v>
      </c>
      <c r="D5" s="46" t="s">
        <v>279</v>
      </c>
      <c r="E5" s="46" t="s">
        <v>279</v>
      </c>
      <c r="F5" s="46" t="s">
        <v>279</v>
      </c>
      <c r="G5" s="53" t="s">
        <v>278</v>
      </c>
      <c r="H5" s="53" t="s">
        <v>278</v>
      </c>
      <c r="I5" s="46" t="s">
        <v>279</v>
      </c>
      <c r="J5" s="46" t="s">
        <v>279</v>
      </c>
    </row>
    <row r="7" spans="1:12" ht="14.25" customHeight="1" x14ac:dyDescent="0.3">
      <c r="A7" s="24">
        <v>46251</v>
      </c>
      <c r="B7" s="7" t="s">
        <v>498</v>
      </c>
      <c r="C7" s="7" t="s">
        <v>61</v>
      </c>
      <c r="D7" s="7" t="s">
        <v>407</v>
      </c>
      <c r="E7" s="7" t="s">
        <v>430</v>
      </c>
      <c r="F7" s="7" t="s">
        <v>107</v>
      </c>
      <c r="G7" s="7" t="s">
        <v>58</v>
      </c>
      <c r="H7" s="14">
        <v>200</v>
      </c>
      <c r="I7" s="7" t="s">
        <v>138</v>
      </c>
      <c r="J7" s="7" t="s">
        <v>77</v>
      </c>
    </row>
    <row r="8" spans="1:12" ht="14.25" customHeight="1" x14ac:dyDescent="0.3">
      <c r="A8" s="24">
        <v>46252</v>
      </c>
      <c r="B8" s="7" t="s">
        <v>498</v>
      </c>
      <c r="C8" s="7" t="s">
        <v>61</v>
      </c>
      <c r="D8" s="7" t="s">
        <v>407</v>
      </c>
      <c r="E8" s="7" t="s">
        <v>430</v>
      </c>
      <c r="F8" s="7" t="s">
        <v>72</v>
      </c>
      <c r="G8" s="7" t="s">
        <v>58</v>
      </c>
      <c r="H8" s="14">
        <v>180</v>
      </c>
      <c r="I8" s="7" t="s">
        <v>236</v>
      </c>
      <c r="J8" s="7" t="s">
        <v>144</v>
      </c>
    </row>
    <row r="9" spans="1:12" ht="14.25" customHeight="1" x14ac:dyDescent="0.3">
      <c r="A9" s="24">
        <v>46254</v>
      </c>
      <c r="B9" s="7" t="s">
        <v>502</v>
      </c>
      <c r="C9" s="7" t="s">
        <v>98</v>
      </c>
      <c r="D9" s="7" t="s">
        <v>466</v>
      </c>
      <c r="E9" s="7" t="s">
        <v>434</v>
      </c>
      <c r="F9" s="7" t="s">
        <v>141</v>
      </c>
      <c r="G9" s="7" t="s">
        <v>58</v>
      </c>
      <c r="H9" s="14">
        <v>220</v>
      </c>
      <c r="I9" s="7" t="s">
        <v>67</v>
      </c>
      <c r="J9" s="7" t="s">
        <v>77</v>
      </c>
    </row>
    <row r="10" spans="1:12" ht="14.25" customHeight="1" x14ac:dyDescent="0.3">
      <c r="A10" s="24">
        <v>46256</v>
      </c>
      <c r="B10" s="7" t="s">
        <v>502</v>
      </c>
      <c r="C10" s="7" t="s">
        <v>98</v>
      </c>
      <c r="D10" s="7" t="s">
        <v>466</v>
      </c>
      <c r="E10" s="7" t="s">
        <v>434</v>
      </c>
      <c r="F10" s="7" t="s">
        <v>168</v>
      </c>
      <c r="G10" s="7" t="s">
        <v>58</v>
      </c>
      <c r="H10" s="14">
        <v>150</v>
      </c>
      <c r="I10" s="7" t="s">
        <v>188</v>
      </c>
      <c r="J10" s="7" t="s">
        <v>113</v>
      </c>
    </row>
    <row r="11" spans="1:12" ht="14.25" customHeight="1" x14ac:dyDescent="0.3">
      <c r="A11" s="24">
        <v>46257</v>
      </c>
      <c r="B11" s="7" t="s">
        <v>503</v>
      </c>
      <c r="C11" s="7" t="s">
        <v>135</v>
      </c>
      <c r="D11" s="7" t="s">
        <v>482</v>
      </c>
      <c r="E11" s="7" t="s">
        <v>437</v>
      </c>
      <c r="F11" s="7" t="s">
        <v>209</v>
      </c>
      <c r="G11" s="7" t="s">
        <v>160</v>
      </c>
      <c r="H11" s="14">
        <v>190</v>
      </c>
      <c r="I11" s="7" t="s">
        <v>240</v>
      </c>
      <c r="J11" s="7" t="s">
        <v>170</v>
      </c>
    </row>
    <row r="12" spans="1:12" ht="14.25" customHeight="1" x14ac:dyDescent="0.3">
      <c r="A12" s="24">
        <v>46259</v>
      </c>
      <c r="B12" s="7" t="s">
        <v>507</v>
      </c>
      <c r="C12" s="7" t="s">
        <v>161</v>
      </c>
      <c r="D12" s="7" t="s">
        <v>484</v>
      </c>
      <c r="E12" s="7" t="s">
        <v>441</v>
      </c>
      <c r="F12" s="7" t="s">
        <v>72</v>
      </c>
      <c r="G12" s="7" t="s">
        <v>95</v>
      </c>
      <c r="H12" s="14">
        <v>260</v>
      </c>
      <c r="I12" s="7" t="s">
        <v>238</v>
      </c>
      <c r="J12" s="7" t="s">
        <v>144</v>
      </c>
    </row>
    <row r="13" spans="1:12" ht="14.25" customHeight="1" x14ac:dyDescent="0.3">
      <c r="A13" s="24">
        <v>46261</v>
      </c>
      <c r="B13" s="7" t="s">
        <v>510</v>
      </c>
      <c r="C13" s="7" t="s">
        <v>61</v>
      </c>
      <c r="D13" s="7" t="s">
        <v>407</v>
      </c>
      <c r="E13" s="7" t="s">
        <v>448</v>
      </c>
      <c r="F13" s="7" t="s">
        <v>192</v>
      </c>
      <c r="G13" s="7" t="s">
        <v>133</v>
      </c>
      <c r="H13" s="14">
        <v>170</v>
      </c>
      <c r="I13" s="7" t="s">
        <v>228</v>
      </c>
      <c r="J13" s="7" t="s">
        <v>113</v>
      </c>
    </row>
  </sheetData>
  <mergeCells count="2">
    <mergeCell ref="D1:G1"/>
    <mergeCell ref="D2:G2"/>
  </mergeCells>
  <dataValidations count="7">
    <dataValidation type="list" allowBlank="1" errorTitle="Not in master" error="Value must be chosen from the master list." promptTitle="Master-driven list" prompt="Select from M_OrderNo" sqref="B7:B500" xr:uid="{00000000-0002-0000-17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L_StitchingUnit" sqref="C7:C500" xr:uid="{00000000-0002-0000-1700-000001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M_EmpName" sqref="D7:D500" xr:uid="{00000000-0002-0000-1700-000002000000}">
      <formula1>M_EmpName</formula1>
      <formula2>0</formula2>
    </dataValidation>
    <dataValidation type="list" allowBlank="1" errorTitle="Not in master" error="Value must be chosen from the master list." promptTitle="Master-driven list" prompt="Select from M_StyleNo" sqref="E7:E500" xr:uid="{00000000-0002-0000-1700-000003000000}">
      <formula1>M_StyleNo</formula1>
      <formula2>0</formula2>
    </dataValidation>
    <dataValidation type="list" allowBlank="1" errorTitle="Not in master" error="Value must be chosen from the master list." promptTitle="Master-driven list" prompt="Select from L_Operation" sqref="F7:F500" xr:uid="{00000000-0002-0000-1700-000004000000}">
      <formula1>L_Operation</formula1>
      <formula2>0</formula2>
    </dataValidation>
    <dataValidation type="list" allowBlank="1" errorTitle="Not in master" error="Value must be chosen from the master list." promptTitle="Master-driven list" prompt="Select from L_DefectType" sqref="I7:I500" xr:uid="{00000000-0002-0000-1700-000005000000}">
      <formula1>L_DefectType</formula1>
      <formula2>0</formula2>
    </dataValidation>
    <dataValidation type="list" allowBlank="1" errorTitle="Not in master" error="Value must be chosen from the master list." promptTitle="Master-driven list" prompt="Select from L_InformTo" sqref="J7:J500" xr:uid="{00000000-0002-0000-1700-000006000000}">
      <formula1>L_InformTo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J13"/>
  <sheetViews>
    <sheetView zoomScaleNormal="100" workbookViewId="0">
      <pane ySplit="6" topLeftCell="A7" activePane="bottomLeft" state="frozen"/>
      <selection pane="bottomLeft" activeCell="F18" sqref="F18"/>
    </sheetView>
  </sheetViews>
  <sheetFormatPr defaultColWidth="8.5546875" defaultRowHeight="14.4" x14ac:dyDescent="0.3"/>
  <cols>
    <col min="1" max="1" width="21" customWidth="1"/>
    <col min="2" max="2" width="10.5546875" customWidth="1"/>
    <col min="3" max="4" width="32" customWidth="1"/>
    <col min="5" max="6" width="17.44140625" customWidth="1"/>
    <col min="7" max="7" width="18" customWidth="1"/>
    <col min="8" max="8" width="20" customWidth="1"/>
  </cols>
  <sheetData>
    <row r="1" spans="1:10" ht="21" customHeight="1" x14ac:dyDescent="0.3">
      <c r="A1" s="22" t="s">
        <v>747</v>
      </c>
      <c r="C1" s="116" t="s">
        <v>1</v>
      </c>
      <c r="D1" s="116"/>
      <c r="E1" s="116"/>
      <c r="F1" s="116"/>
      <c r="J1" s="28"/>
    </row>
    <row r="2" spans="1:10" ht="21" customHeight="1" x14ac:dyDescent="0.3">
      <c r="C2" s="118" t="s">
        <v>755</v>
      </c>
      <c r="D2" s="118"/>
      <c r="E2" s="118"/>
      <c r="F2" s="118"/>
    </row>
    <row r="4" spans="1:10" ht="15" customHeight="1" x14ac:dyDescent="0.3">
      <c r="A4" s="5" t="s">
        <v>519</v>
      </c>
      <c r="B4" s="5" t="s">
        <v>487</v>
      </c>
      <c r="C4" s="5" t="s">
        <v>749</v>
      </c>
      <c r="D4" s="5" t="s">
        <v>750</v>
      </c>
      <c r="E4" s="5" t="s">
        <v>756</v>
      </c>
      <c r="F4" s="5" t="s">
        <v>757</v>
      </c>
      <c r="G4" s="5" t="s">
        <v>758</v>
      </c>
      <c r="H4" s="5" t="s">
        <v>754</v>
      </c>
    </row>
    <row r="5" spans="1:10" ht="14.25" customHeight="1" x14ac:dyDescent="0.3">
      <c r="A5" s="17" t="s">
        <v>277</v>
      </c>
      <c r="B5" s="46" t="s">
        <v>279</v>
      </c>
      <c r="C5" s="46" t="s">
        <v>279</v>
      </c>
      <c r="D5" s="46" t="s">
        <v>279</v>
      </c>
      <c r="E5" s="46" t="s">
        <v>279</v>
      </c>
      <c r="F5" s="18" t="s">
        <v>278</v>
      </c>
      <c r="G5" s="46" t="s">
        <v>279</v>
      </c>
      <c r="H5" s="46" t="s">
        <v>279</v>
      </c>
    </row>
    <row r="7" spans="1:10" ht="14.25" customHeight="1" x14ac:dyDescent="0.3">
      <c r="A7" s="24">
        <v>46251</v>
      </c>
      <c r="B7" s="7" t="s">
        <v>498</v>
      </c>
      <c r="C7" s="7" t="s">
        <v>61</v>
      </c>
      <c r="D7" s="7" t="s">
        <v>407</v>
      </c>
      <c r="E7" s="7" t="s">
        <v>430</v>
      </c>
      <c r="F7" s="14">
        <v>24</v>
      </c>
      <c r="G7" s="7" t="s">
        <v>102</v>
      </c>
      <c r="H7" s="7" t="s">
        <v>77</v>
      </c>
    </row>
    <row r="8" spans="1:10" ht="14.25" customHeight="1" x14ac:dyDescent="0.3">
      <c r="A8" s="24">
        <v>46252</v>
      </c>
      <c r="B8" s="7" t="s">
        <v>498</v>
      </c>
      <c r="C8" s="7" t="s">
        <v>61</v>
      </c>
      <c r="D8" s="7" t="s">
        <v>407</v>
      </c>
      <c r="E8" s="7" t="s">
        <v>430</v>
      </c>
      <c r="F8" s="14">
        <v>18</v>
      </c>
      <c r="G8" s="7" t="s">
        <v>67</v>
      </c>
      <c r="H8" s="7" t="s">
        <v>144</v>
      </c>
    </row>
    <row r="9" spans="1:10" ht="14.25" customHeight="1" x14ac:dyDescent="0.3">
      <c r="A9" s="24">
        <v>46254</v>
      </c>
      <c r="B9" s="7" t="s">
        <v>502</v>
      </c>
      <c r="C9" s="7" t="s">
        <v>98</v>
      </c>
      <c r="D9" s="7" t="s">
        <v>466</v>
      </c>
      <c r="E9" s="7" t="s">
        <v>434</v>
      </c>
      <c r="F9" s="14">
        <v>31</v>
      </c>
      <c r="G9" s="7" t="s">
        <v>236</v>
      </c>
      <c r="H9" s="7" t="s">
        <v>77</v>
      </c>
    </row>
    <row r="10" spans="1:10" ht="14.25" customHeight="1" x14ac:dyDescent="0.3">
      <c r="A10" s="24">
        <v>46256</v>
      </c>
      <c r="B10" s="7" t="s">
        <v>502</v>
      </c>
      <c r="C10" s="7" t="s">
        <v>98</v>
      </c>
      <c r="D10" s="7" t="s">
        <v>466</v>
      </c>
      <c r="E10" s="7" t="s">
        <v>434</v>
      </c>
      <c r="F10" s="14">
        <v>15</v>
      </c>
      <c r="G10" s="7" t="s">
        <v>165</v>
      </c>
      <c r="H10" s="7" t="s">
        <v>113</v>
      </c>
    </row>
    <row r="11" spans="1:10" ht="14.25" customHeight="1" x14ac:dyDescent="0.3">
      <c r="A11" s="24">
        <v>46257</v>
      </c>
      <c r="B11" s="7" t="s">
        <v>503</v>
      </c>
      <c r="C11" s="7" t="s">
        <v>135</v>
      </c>
      <c r="D11" s="7" t="s">
        <v>482</v>
      </c>
      <c r="E11" s="7" t="s">
        <v>437</v>
      </c>
      <c r="F11" s="14">
        <v>27</v>
      </c>
      <c r="G11" s="7" t="s">
        <v>238</v>
      </c>
      <c r="H11" s="7" t="s">
        <v>170</v>
      </c>
    </row>
    <row r="12" spans="1:10" ht="14.25" customHeight="1" x14ac:dyDescent="0.3">
      <c r="A12" s="24">
        <v>46259</v>
      </c>
      <c r="B12" s="7" t="s">
        <v>507</v>
      </c>
      <c r="C12" s="7" t="s">
        <v>161</v>
      </c>
      <c r="D12" s="7" t="s">
        <v>484</v>
      </c>
      <c r="E12" s="7" t="s">
        <v>441</v>
      </c>
      <c r="F12" s="14">
        <v>42</v>
      </c>
      <c r="G12" s="7" t="s">
        <v>244</v>
      </c>
      <c r="H12" s="7" t="s">
        <v>144</v>
      </c>
    </row>
    <row r="13" spans="1:10" ht="14.25" customHeight="1" x14ac:dyDescent="0.3">
      <c r="A13" s="24">
        <v>46261</v>
      </c>
      <c r="B13" s="7" t="s">
        <v>510</v>
      </c>
      <c r="C13" s="7" t="s">
        <v>61</v>
      </c>
      <c r="D13" s="7" t="s">
        <v>407</v>
      </c>
      <c r="E13" s="7" t="s">
        <v>448</v>
      </c>
      <c r="F13" s="14">
        <v>22</v>
      </c>
      <c r="G13" s="7" t="s">
        <v>234</v>
      </c>
      <c r="H13" s="7" t="s">
        <v>113</v>
      </c>
    </row>
  </sheetData>
  <mergeCells count="2">
    <mergeCell ref="C1:F1"/>
    <mergeCell ref="C2:F2"/>
  </mergeCells>
  <dataValidations count="6">
    <dataValidation type="list" allowBlank="1" errorTitle="Not in master" error="Value must be chosen from the master list." promptTitle="Master-driven list" prompt="Select from M_OrderNo" sqref="B7:B500" xr:uid="{00000000-0002-0000-18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L_StitchingUnit" sqref="C7:C500" xr:uid="{00000000-0002-0000-1800-000001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M_EmpName" sqref="D7:D500" xr:uid="{00000000-0002-0000-1800-000002000000}">
      <formula1>M_EmpName</formula1>
      <formula2>0</formula2>
    </dataValidation>
    <dataValidation type="list" allowBlank="1" errorTitle="Not in master" error="Value must be chosen from the master list." promptTitle="Master-driven list" prompt="Select from M_StyleNo" sqref="E7:E500" xr:uid="{00000000-0002-0000-1800-000003000000}">
      <formula1>M_StyleNo</formula1>
      <formula2>0</formula2>
    </dataValidation>
    <dataValidation type="list" allowBlank="1" errorTitle="Not in master" error="Value must be chosen from the master list." promptTitle="Master-driven list" prompt="Select from L_DefectType" sqref="G7:G500" xr:uid="{00000000-0002-0000-1800-000004000000}">
      <formula1>L_DefectType</formula1>
      <formula2>0</formula2>
    </dataValidation>
    <dataValidation type="list" allowBlank="1" errorTitle="Not in master" error="Value must be chosen from the master list." promptTitle="Master-driven list" prompt="Select from L_InformTo" sqref="H7:H500" xr:uid="{00000000-0002-0000-1800-000005000000}">
      <formula1>L_InformTo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M13"/>
  <sheetViews>
    <sheetView showGridLines="0" topLeftCell="B1" zoomScaleNormal="100" workbookViewId="0">
      <pane ySplit="6" topLeftCell="A7" activePane="bottomLeft" state="frozen"/>
      <selection pane="bottomLeft" activeCell="I4" sqref="I4:I13"/>
    </sheetView>
  </sheetViews>
  <sheetFormatPr defaultColWidth="8.5546875" defaultRowHeight="14.4" x14ac:dyDescent="0.3"/>
  <cols>
    <col min="1" max="3" width="32" customWidth="1"/>
    <col min="4" max="4" width="26" customWidth="1"/>
    <col min="5" max="5" width="31" customWidth="1"/>
    <col min="6" max="6" width="19" customWidth="1"/>
    <col min="7" max="9" width="18" customWidth="1"/>
    <col min="10" max="10" width="26" customWidth="1"/>
    <col min="11" max="11" width="30" customWidth="1"/>
  </cols>
  <sheetData>
    <row r="1" spans="1:13" ht="21" customHeight="1" x14ac:dyDescent="0.3">
      <c r="A1" s="4" t="s">
        <v>747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1" customHeight="1" x14ac:dyDescent="0.3">
      <c r="A2" s="2"/>
      <c r="C2" s="118" t="s">
        <v>958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 ht="12" customHeight="1" x14ac:dyDescent="0.3"/>
    <row r="4" spans="1:13" ht="30" customHeight="1" x14ac:dyDescent="0.3">
      <c r="A4" s="5" t="s">
        <v>519</v>
      </c>
      <c r="B4" s="5" t="s">
        <v>487</v>
      </c>
      <c r="C4" s="5" t="s">
        <v>422</v>
      </c>
      <c r="D4" s="5" t="s">
        <v>190</v>
      </c>
      <c r="E4" s="5" t="s">
        <v>759</v>
      </c>
      <c r="F4" s="5" t="s">
        <v>760</v>
      </c>
      <c r="G4" s="5" t="s">
        <v>761</v>
      </c>
      <c r="H4" s="5" t="s">
        <v>676</v>
      </c>
      <c r="I4" s="5" t="s">
        <v>266</v>
      </c>
      <c r="J4" s="5" t="s">
        <v>762</v>
      </c>
      <c r="K4" s="5" t="s">
        <v>356</v>
      </c>
    </row>
    <row r="5" spans="1:13" ht="14.25" customHeight="1" x14ac:dyDescent="0.3">
      <c r="A5" s="34" t="s">
        <v>277</v>
      </c>
      <c r="B5" s="12" t="s">
        <v>279</v>
      </c>
      <c r="C5" s="34" t="s">
        <v>277</v>
      </c>
      <c r="D5" s="12" t="s">
        <v>279</v>
      </c>
      <c r="E5" s="12" t="s">
        <v>279</v>
      </c>
      <c r="F5" s="11" t="s">
        <v>278</v>
      </c>
      <c r="G5" s="11" t="s">
        <v>278</v>
      </c>
      <c r="H5" s="12" t="s">
        <v>279</v>
      </c>
      <c r="I5" s="12" t="s">
        <v>279</v>
      </c>
      <c r="J5" s="12" t="s">
        <v>279</v>
      </c>
      <c r="K5" s="11" t="s">
        <v>357</v>
      </c>
    </row>
    <row r="6" spans="1:13" ht="42.75" customHeight="1" x14ac:dyDescent="0.3">
      <c r="D6" s="35"/>
      <c r="E6" s="35"/>
      <c r="I6" s="35"/>
      <c r="J6" s="93" t="s">
        <v>763</v>
      </c>
    </row>
    <row r="7" spans="1:13" ht="14.25" customHeight="1" x14ac:dyDescent="0.3">
      <c r="A7" s="24">
        <v>46252</v>
      </c>
      <c r="B7" s="7" t="s">
        <v>498</v>
      </c>
      <c r="C7" s="7" t="s">
        <v>430</v>
      </c>
      <c r="D7" s="7" t="s">
        <v>61</v>
      </c>
      <c r="E7" s="7" t="s">
        <v>467</v>
      </c>
      <c r="F7" s="14">
        <v>2380</v>
      </c>
      <c r="G7" s="14">
        <v>120</v>
      </c>
      <c r="H7" s="7" t="s">
        <v>67</v>
      </c>
      <c r="I7" s="7" t="s">
        <v>105</v>
      </c>
      <c r="J7" s="7" t="s">
        <v>61</v>
      </c>
      <c r="K7" s="7" t="s">
        <v>764</v>
      </c>
    </row>
    <row r="8" spans="1:13" ht="14.25" customHeight="1" x14ac:dyDescent="0.3">
      <c r="A8" s="24">
        <v>46253</v>
      </c>
      <c r="B8" s="7" t="s">
        <v>498</v>
      </c>
      <c r="C8" s="7" t="s">
        <v>430</v>
      </c>
      <c r="D8" s="7" t="s">
        <v>61</v>
      </c>
      <c r="E8" s="7" t="s">
        <v>467</v>
      </c>
      <c r="F8" s="14">
        <v>2450</v>
      </c>
      <c r="G8" s="14">
        <v>60</v>
      </c>
      <c r="H8" s="7" t="s">
        <v>102</v>
      </c>
      <c r="I8" s="7" t="s">
        <v>70</v>
      </c>
      <c r="J8" s="7"/>
      <c r="K8" s="7"/>
    </row>
    <row r="9" spans="1:13" ht="14.25" customHeight="1" x14ac:dyDescent="0.3">
      <c r="A9" s="24">
        <v>46255</v>
      </c>
      <c r="B9" s="7" t="s">
        <v>502</v>
      </c>
      <c r="C9" s="7" t="s">
        <v>434</v>
      </c>
      <c r="D9" s="7" t="s">
        <v>98</v>
      </c>
      <c r="E9" s="7" t="s">
        <v>470</v>
      </c>
      <c r="F9" s="14">
        <v>3320</v>
      </c>
      <c r="G9" s="14">
        <v>180</v>
      </c>
      <c r="H9" s="7" t="s">
        <v>236</v>
      </c>
      <c r="I9" s="7" t="s">
        <v>105</v>
      </c>
      <c r="J9" s="7" t="s">
        <v>98</v>
      </c>
      <c r="K9" s="7" t="s">
        <v>765</v>
      </c>
    </row>
    <row r="10" spans="1:13" ht="14.25" customHeight="1" x14ac:dyDescent="0.3">
      <c r="A10" s="24">
        <v>46257</v>
      </c>
      <c r="B10" s="7" t="s">
        <v>502</v>
      </c>
      <c r="C10" s="7" t="s">
        <v>434</v>
      </c>
      <c r="D10" s="7" t="s">
        <v>98</v>
      </c>
      <c r="E10" s="7" t="s">
        <v>470</v>
      </c>
      <c r="F10" s="14">
        <v>3410</v>
      </c>
      <c r="G10" s="14">
        <v>90</v>
      </c>
      <c r="H10" s="7" t="s">
        <v>165</v>
      </c>
      <c r="I10" s="7" t="s">
        <v>70</v>
      </c>
      <c r="J10" s="7"/>
      <c r="K10" s="7" t="s">
        <v>766</v>
      </c>
    </row>
    <row r="11" spans="1:13" ht="14.25" customHeight="1" x14ac:dyDescent="0.3">
      <c r="A11" s="24">
        <v>46258</v>
      </c>
      <c r="B11" s="7" t="s">
        <v>503</v>
      </c>
      <c r="C11" s="7" t="s">
        <v>437</v>
      </c>
      <c r="D11" s="7" t="s">
        <v>135</v>
      </c>
      <c r="E11" s="7" t="s">
        <v>467</v>
      </c>
      <c r="F11" s="14">
        <v>1860</v>
      </c>
      <c r="G11" s="14">
        <v>140</v>
      </c>
      <c r="H11" s="7" t="s">
        <v>240</v>
      </c>
      <c r="I11" s="7" t="s">
        <v>105</v>
      </c>
      <c r="J11" s="7" t="s">
        <v>135</v>
      </c>
      <c r="K11" s="7" t="s">
        <v>767</v>
      </c>
    </row>
    <row r="12" spans="1:13" ht="14.25" customHeight="1" x14ac:dyDescent="0.3">
      <c r="A12" s="24">
        <v>46260</v>
      </c>
      <c r="B12" s="7" t="s">
        <v>507</v>
      </c>
      <c r="C12" s="7" t="s">
        <v>441</v>
      </c>
      <c r="D12" s="7" t="s">
        <v>161</v>
      </c>
      <c r="E12" s="7" t="s">
        <v>470</v>
      </c>
      <c r="F12" s="14">
        <v>4780</v>
      </c>
      <c r="G12" s="14">
        <v>210</v>
      </c>
      <c r="H12" s="7" t="s">
        <v>244</v>
      </c>
      <c r="I12" s="7" t="s">
        <v>70</v>
      </c>
      <c r="J12" s="7"/>
      <c r="K12" s="7" t="s">
        <v>768</v>
      </c>
    </row>
    <row r="13" spans="1:13" ht="14.25" customHeight="1" x14ac:dyDescent="0.3">
      <c r="A13" s="24">
        <v>46262</v>
      </c>
      <c r="B13" s="7" t="s">
        <v>510</v>
      </c>
      <c r="C13" s="7" t="s">
        <v>448</v>
      </c>
      <c r="D13" s="7" t="s">
        <v>61</v>
      </c>
      <c r="E13" s="7" t="s">
        <v>467</v>
      </c>
      <c r="F13" s="14">
        <v>2890</v>
      </c>
      <c r="G13" s="14">
        <v>105</v>
      </c>
      <c r="H13" s="7" t="s">
        <v>238</v>
      </c>
      <c r="I13" s="7" t="s">
        <v>70</v>
      </c>
      <c r="J13" s="7"/>
      <c r="K13" s="7"/>
    </row>
  </sheetData>
  <mergeCells count="2">
    <mergeCell ref="C1:M1"/>
    <mergeCell ref="C2:M2"/>
  </mergeCells>
  <dataValidations count="6">
    <dataValidation type="list" allowBlank="1" errorTitle="Not in master" error="Value must be chosen from the master list." promptTitle="Master-driven list" prompt="Select from M_OrderNo" sqref="B7:B500" xr:uid="{00000000-0002-0000-19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C7:C500" xr:uid="{00000000-0002-0000-19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StitchingUnit" sqref="D7:D500 J7:J500" xr:uid="{00000000-0002-0000-1900-000002000000}">
      <formula1>L_StitchingUnit</formula1>
      <formula2>0</formula2>
    </dataValidation>
    <dataValidation type="list" allowBlank="1" errorTitle="Not in master" error="Value must be chosen from the master list." promptTitle="Master-driven list" prompt="Select from M_EmpID" sqref="E7:E500" xr:uid="{00000000-0002-0000-1900-000003000000}">
      <formula1>M_EmpID</formula1>
      <formula2>0</formula2>
    </dataValidation>
    <dataValidation type="list" allowBlank="1" errorTitle="Not in master" error="Value must be chosen from the master list." promptTitle="Master-driven list" prompt="Select from L_DefectType" sqref="H7:H500" xr:uid="{00000000-0002-0000-1900-000004000000}">
      <formula1>L_DefectType</formula1>
      <formula2>0</formula2>
    </dataValidation>
    <dataValidation type="list" allowBlank="1" errorTitle="Not in master" error="Value must be chosen from the master list." promptTitle="Master-driven list" prompt="Select from L_StatusQC" sqref="I7:I500" xr:uid="{00000000-0002-0000-1900-000005000000}">
      <formula1>L_StatusQC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I16"/>
  <sheetViews>
    <sheetView zoomScaleNormal="100" workbookViewId="0">
      <pane ySplit="5" topLeftCell="A6" activePane="bottomLeft" state="frozen"/>
      <selection pane="bottomLeft" activeCell="G3" sqref="G3"/>
    </sheetView>
  </sheetViews>
  <sheetFormatPr defaultColWidth="8.5546875" defaultRowHeight="14.4" x14ac:dyDescent="0.3"/>
  <cols>
    <col min="1" max="1" width="21" customWidth="1"/>
    <col min="2" max="2" width="14" style="54" customWidth="1"/>
    <col min="3" max="3" width="18" customWidth="1"/>
    <col min="4" max="4" width="13" customWidth="1"/>
    <col min="5" max="5" width="19" customWidth="1"/>
    <col min="6" max="6" width="14" customWidth="1"/>
    <col min="7" max="7" width="18" customWidth="1"/>
  </cols>
  <sheetData>
    <row r="1" spans="1:9" ht="21" customHeight="1" x14ac:dyDescent="0.3">
      <c r="A1" s="22" t="s">
        <v>747</v>
      </c>
      <c r="C1" s="116" t="s">
        <v>1</v>
      </c>
      <c r="D1" s="116"/>
      <c r="E1" s="116"/>
      <c r="F1" s="116"/>
      <c r="I1" s="28"/>
    </row>
    <row r="2" spans="1:9" ht="21" customHeight="1" x14ac:dyDescent="0.3">
      <c r="C2" s="118" t="s">
        <v>769</v>
      </c>
      <c r="D2" s="118"/>
      <c r="E2" s="118"/>
      <c r="F2" s="118"/>
    </row>
    <row r="3" spans="1:9" ht="15" customHeight="1" x14ac:dyDescent="0.3">
      <c r="A3" s="5" t="s">
        <v>519</v>
      </c>
      <c r="B3" s="55" t="s">
        <v>759</v>
      </c>
      <c r="C3" s="5" t="s">
        <v>770</v>
      </c>
      <c r="D3" s="5" t="s">
        <v>422</v>
      </c>
      <c r="E3" s="5" t="s">
        <v>760</v>
      </c>
      <c r="F3" s="5" t="s">
        <v>771</v>
      </c>
      <c r="G3" s="5"/>
    </row>
    <row r="4" spans="1:9" ht="14.25" customHeight="1" x14ac:dyDescent="0.3">
      <c r="A4" s="98" t="s">
        <v>277</v>
      </c>
      <c r="B4" s="99" t="s">
        <v>277</v>
      </c>
      <c r="C4" s="95" t="s">
        <v>279</v>
      </c>
      <c r="D4" s="98" t="s">
        <v>277</v>
      </c>
      <c r="E4" s="92" t="s">
        <v>278</v>
      </c>
      <c r="F4" s="92" t="s">
        <v>278</v>
      </c>
      <c r="G4" s="94"/>
    </row>
    <row r="5" spans="1:9" ht="14.25" customHeight="1" x14ac:dyDescent="0.3">
      <c r="A5" s="22" t="s">
        <v>772</v>
      </c>
      <c r="B5" s="22" t="s">
        <v>773</v>
      </c>
    </row>
    <row r="6" spans="1:9" ht="14.25" customHeight="1" x14ac:dyDescent="0.3">
      <c r="A6" s="24">
        <v>46252</v>
      </c>
      <c r="B6" s="56" t="s">
        <v>467</v>
      </c>
      <c r="C6" s="56" t="s">
        <v>468</v>
      </c>
      <c r="D6" s="7" t="s">
        <v>430</v>
      </c>
      <c r="E6" s="14">
        <v>2380</v>
      </c>
      <c r="F6" s="14">
        <v>120</v>
      </c>
      <c r="G6" s="7"/>
    </row>
    <row r="7" spans="1:9" ht="14.25" customHeight="1" x14ac:dyDescent="0.3">
      <c r="A7" s="24">
        <v>46253</v>
      </c>
      <c r="B7" s="7" t="s">
        <v>467</v>
      </c>
      <c r="C7" s="7" t="s">
        <v>468</v>
      </c>
      <c r="D7" s="7" t="s">
        <v>430</v>
      </c>
      <c r="E7" s="14">
        <v>2450</v>
      </c>
      <c r="F7" s="14">
        <v>60</v>
      </c>
      <c r="G7" s="7"/>
      <c r="H7" s="96"/>
    </row>
    <row r="8" spans="1:9" ht="14.25" customHeight="1" x14ac:dyDescent="0.3">
      <c r="A8" s="24">
        <v>46255</v>
      </c>
      <c r="B8" s="7" t="s">
        <v>470</v>
      </c>
      <c r="C8" s="7" t="s">
        <v>471</v>
      </c>
      <c r="D8" s="7" t="s">
        <v>434</v>
      </c>
      <c r="E8" s="14">
        <v>3320</v>
      </c>
      <c r="F8" s="14">
        <v>180</v>
      </c>
      <c r="G8" s="7"/>
    </row>
    <row r="9" spans="1:9" ht="14.25" customHeight="1" x14ac:dyDescent="0.3">
      <c r="A9" s="24">
        <v>46257</v>
      </c>
      <c r="B9" s="7" t="s">
        <v>470</v>
      </c>
      <c r="C9" s="7" t="s">
        <v>471</v>
      </c>
      <c r="D9" s="7" t="s">
        <v>434</v>
      </c>
      <c r="E9" s="14">
        <v>3410</v>
      </c>
      <c r="F9" s="14">
        <v>90</v>
      </c>
      <c r="G9" s="7"/>
    </row>
    <row r="10" spans="1:9" ht="14.25" customHeight="1" x14ac:dyDescent="0.3">
      <c r="A10" s="24">
        <v>46258</v>
      </c>
      <c r="B10" s="7" t="s">
        <v>467</v>
      </c>
      <c r="C10" s="7" t="s">
        <v>468</v>
      </c>
      <c r="D10" s="7" t="s">
        <v>437</v>
      </c>
      <c r="E10" s="14">
        <v>1860</v>
      </c>
      <c r="F10" s="14">
        <v>140</v>
      </c>
      <c r="G10" s="7"/>
    </row>
    <row r="11" spans="1:9" ht="14.25" customHeight="1" x14ac:dyDescent="0.3">
      <c r="A11" s="24">
        <v>46260</v>
      </c>
      <c r="B11" s="7" t="s">
        <v>470</v>
      </c>
      <c r="C11" s="7" t="s">
        <v>471</v>
      </c>
      <c r="D11" s="7" t="s">
        <v>441</v>
      </c>
      <c r="E11" s="14">
        <v>4780</v>
      </c>
      <c r="F11" s="14">
        <v>210</v>
      </c>
      <c r="G11" s="7"/>
    </row>
    <row r="12" spans="1:9" ht="14.25" customHeight="1" x14ac:dyDescent="0.3">
      <c r="A12" s="24">
        <v>46262</v>
      </c>
      <c r="B12" s="7" t="s">
        <v>467</v>
      </c>
      <c r="C12" s="7" t="s">
        <v>468</v>
      </c>
      <c r="D12" s="7" t="s">
        <v>448</v>
      </c>
      <c r="E12" s="14">
        <v>2890</v>
      </c>
      <c r="F12" s="14">
        <v>105</v>
      </c>
      <c r="G12" s="7"/>
    </row>
    <row r="15" spans="1:9" x14ac:dyDescent="0.3">
      <c r="A15" t="s">
        <v>959</v>
      </c>
    </row>
    <row r="16" spans="1:9" x14ac:dyDescent="0.3">
      <c r="E16" s="97"/>
    </row>
  </sheetData>
  <mergeCells count="2">
    <mergeCell ref="C1:F1"/>
    <mergeCell ref="C2:F2"/>
  </mergeCells>
  <dataValidations count="4">
    <dataValidation type="list" allowBlank="1" errorTitle="Not in master" error="Value must be chosen from the master list." promptTitle="Master-driven list" prompt="Select from M_EmpID" sqref="B6:B500" xr:uid="{00000000-0002-0000-1A00-000000000000}">
      <formula1>M_EmpID</formula1>
      <formula2>0</formula2>
    </dataValidation>
    <dataValidation type="list" allowBlank="1" errorTitle="Not in master" error="Value must be chosen from the master list." promptTitle="Master-driven list" prompt="Select from M_EmpName" sqref="C6:C500" xr:uid="{00000000-0002-0000-1A00-000001000000}">
      <formula1>M_EmpName</formula1>
      <formula2>0</formula2>
    </dataValidation>
    <dataValidation type="list" allowBlank="1" errorTitle="Not in master" error="Value must be chosen from the master list." promptTitle="Master-driven list" prompt="Select from M_StyleNo" sqref="D6:D500" xr:uid="{00000000-0002-0000-1A00-000002000000}">
      <formula1>M_StyleNo</formula1>
      <formula2>0</formula2>
    </dataValidation>
    <dataValidation type="list" allowBlank="1" errorTitle="Not in master" error="Value must be chosen from the master list." promptTitle="Master-driven list" prompt="Select from L_DefectType" sqref="G6:G500" xr:uid="{00000000-0002-0000-1A00-000003000000}">
      <formula1>L_DefectType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AA13"/>
  <sheetViews>
    <sheetView topLeftCell="J1" zoomScaleNormal="100" workbookViewId="0">
      <pane ySplit="6" topLeftCell="A7" activePane="bottomLeft" state="frozen"/>
      <selection activeCell="G1" sqref="G1"/>
      <selection pane="bottomLeft" activeCell="L12" sqref="L12"/>
    </sheetView>
  </sheetViews>
  <sheetFormatPr defaultColWidth="8.5546875" defaultRowHeight="14.4" x14ac:dyDescent="0.3"/>
  <cols>
    <col min="1" max="1" width="10" customWidth="1"/>
    <col min="2" max="3" width="14" customWidth="1"/>
    <col min="4" max="4" width="21" customWidth="1"/>
    <col min="5" max="5" width="13" customWidth="1"/>
    <col min="6" max="6" width="32" customWidth="1"/>
    <col min="7" max="7" width="12" customWidth="1"/>
    <col min="8" max="8" width="13" customWidth="1"/>
    <col min="9" max="9" width="14" customWidth="1"/>
    <col min="10" max="11" width="15" customWidth="1"/>
    <col min="12" max="12" width="31" customWidth="1"/>
    <col min="13" max="13" width="14" customWidth="1"/>
    <col min="14" max="14" width="17" customWidth="1"/>
    <col min="15" max="15" width="16" customWidth="1"/>
    <col min="16" max="16" width="10" customWidth="1"/>
    <col min="17" max="17" width="14" customWidth="1"/>
    <col min="18" max="19" width="15" customWidth="1"/>
    <col min="20" max="22" width="9" customWidth="1"/>
    <col min="23" max="23" width="21" customWidth="1"/>
    <col min="24" max="24" width="15" customWidth="1"/>
    <col min="25" max="25" width="21" customWidth="1"/>
  </cols>
  <sheetData>
    <row r="1" spans="1:27" ht="21" customHeight="1" x14ac:dyDescent="0.3">
      <c r="A1" s="22" t="s">
        <v>747</v>
      </c>
      <c r="L1" s="116" t="s">
        <v>1</v>
      </c>
      <c r="M1" s="116"/>
      <c r="N1" s="116"/>
      <c r="O1" s="116"/>
      <c r="AA1" s="28"/>
    </row>
    <row r="2" spans="1:27" ht="21" customHeight="1" x14ac:dyDescent="0.3">
      <c r="L2" s="118" t="s">
        <v>748</v>
      </c>
      <c r="M2" s="118"/>
      <c r="N2" s="118"/>
      <c r="O2" s="118"/>
    </row>
    <row r="4" spans="1:27" s="20" customFormat="1" ht="15" customHeight="1" x14ac:dyDescent="0.3">
      <c r="A4" s="5" t="s">
        <v>487</v>
      </c>
      <c r="B4" s="5" t="s">
        <v>759</v>
      </c>
      <c r="C4" s="5" t="s">
        <v>770</v>
      </c>
      <c r="D4" s="5" t="s">
        <v>774</v>
      </c>
      <c r="E4" s="5" t="s">
        <v>775</v>
      </c>
      <c r="F4" s="5" t="s">
        <v>67</v>
      </c>
      <c r="G4" s="5" t="s">
        <v>776</v>
      </c>
      <c r="H4" s="5" t="s">
        <v>777</v>
      </c>
      <c r="I4" s="5" t="s">
        <v>778</v>
      </c>
      <c r="J4" s="5" t="s">
        <v>165</v>
      </c>
      <c r="K4" s="5" t="s">
        <v>779</v>
      </c>
      <c r="L4" s="5" t="s">
        <v>207</v>
      </c>
      <c r="M4" s="5" t="s">
        <v>219</v>
      </c>
      <c r="N4" s="5" t="s">
        <v>780</v>
      </c>
      <c r="O4" s="5" t="s">
        <v>781</v>
      </c>
      <c r="P4" s="5" t="s">
        <v>782</v>
      </c>
      <c r="Q4" s="5" t="s">
        <v>236</v>
      </c>
      <c r="R4" s="5" t="s">
        <v>238</v>
      </c>
      <c r="S4" s="5" t="s">
        <v>783</v>
      </c>
      <c r="T4" s="5" t="s">
        <v>784</v>
      </c>
      <c r="U4" s="5" t="s">
        <v>785</v>
      </c>
      <c r="V4" s="5" t="s">
        <v>786</v>
      </c>
      <c r="W4" s="5" t="s">
        <v>787</v>
      </c>
      <c r="X4" s="5" t="s">
        <v>788</v>
      </c>
      <c r="Y4" s="5" t="s">
        <v>789</v>
      </c>
    </row>
    <row r="5" spans="1:27" ht="14.25" customHeight="1" x14ac:dyDescent="0.3">
      <c r="A5" s="29" t="s">
        <v>279</v>
      </c>
      <c r="B5" s="43" t="s">
        <v>277</v>
      </c>
      <c r="C5" s="29" t="s">
        <v>279</v>
      </c>
      <c r="D5" s="43" t="s">
        <v>277</v>
      </c>
      <c r="E5" s="30" t="s">
        <v>278</v>
      </c>
      <c r="F5" s="131" t="s">
        <v>790</v>
      </c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53" t="s">
        <v>278</v>
      </c>
      <c r="X5" s="52" t="s">
        <v>277</v>
      </c>
      <c r="Y5" s="52" t="s">
        <v>277</v>
      </c>
    </row>
    <row r="6" spans="1:27" ht="14.25" customHeight="1" x14ac:dyDescent="0.3">
      <c r="A6" s="29" t="s">
        <v>279</v>
      </c>
      <c r="B6" s="29" t="s">
        <v>279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7" ht="14.25" customHeight="1" x14ac:dyDescent="0.3">
      <c r="A7" s="7" t="s">
        <v>498</v>
      </c>
      <c r="B7" s="7" t="s">
        <v>467</v>
      </c>
      <c r="C7" s="7" t="s">
        <v>468</v>
      </c>
      <c r="D7" s="24">
        <v>46252</v>
      </c>
      <c r="E7" s="14">
        <v>2380</v>
      </c>
      <c r="F7" s="14">
        <v>22</v>
      </c>
      <c r="G7" s="14">
        <v>14</v>
      </c>
      <c r="H7" s="14">
        <v>8</v>
      </c>
      <c r="I7" s="14">
        <v>6</v>
      </c>
      <c r="J7" s="14">
        <v>5</v>
      </c>
      <c r="K7" s="14">
        <v>4</v>
      </c>
      <c r="L7" s="14">
        <v>3</v>
      </c>
      <c r="M7" s="14">
        <v>2</v>
      </c>
      <c r="N7" s="14">
        <v>3</v>
      </c>
      <c r="O7" s="14">
        <v>6</v>
      </c>
      <c r="P7" s="14">
        <v>4</v>
      </c>
      <c r="Q7" s="14">
        <v>9</v>
      </c>
      <c r="R7" s="14">
        <v>7</v>
      </c>
      <c r="S7" s="14">
        <v>5</v>
      </c>
      <c r="T7" s="14">
        <v>3</v>
      </c>
      <c r="U7" s="14">
        <v>12</v>
      </c>
      <c r="V7" s="14">
        <v>7</v>
      </c>
      <c r="W7" s="44">
        <f t="shared" ref="W7:W13" si="0">E7-X7</f>
        <v>2260</v>
      </c>
      <c r="X7" s="44">
        <f t="shared" ref="X7:X13" si="1">SUM(F7:V7)</f>
        <v>120</v>
      </c>
      <c r="Y7" s="40">
        <f t="shared" ref="Y7:Y13" si="2">IFERROR(X7/E7,0)</f>
        <v>5.0420168067226892E-2</v>
      </c>
    </row>
    <row r="8" spans="1:27" ht="14.25" customHeight="1" x14ac:dyDescent="0.3">
      <c r="A8" s="7" t="s">
        <v>498</v>
      </c>
      <c r="B8" s="7" t="s">
        <v>467</v>
      </c>
      <c r="C8" s="7" t="s">
        <v>468</v>
      </c>
      <c r="D8" s="24">
        <v>46253</v>
      </c>
      <c r="E8" s="14">
        <v>2450</v>
      </c>
      <c r="F8" s="14">
        <v>15</v>
      </c>
      <c r="G8" s="14">
        <v>10</v>
      </c>
      <c r="H8" s="14">
        <v>6</v>
      </c>
      <c r="I8" s="14">
        <v>4</v>
      </c>
      <c r="J8" s="14">
        <v>3</v>
      </c>
      <c r="K8" s="14">
        <v>3</v>
      </c>
      <c r="L8" s="14">
        <v>2</v>
      </c>
      <c r="M8" s="14">
        <v>2</v>
      </c>
      <c r="N8" s="14">
        <v>1</v>
      </c>
      <c r="O8" s="14">
        <v>4</v>
      </c>
      <c r="P8" s="14">
        <v>3</v>
      </c>
      <c r="Q8" s="14">
        <v>6</v>
      </c>
      <c r="R8" s="14">
        <v>5</v>
      </c>
      <c r="S8" s="14">
        <v>3</v>
      </c>
      <c r="T8" s="14">
        <v>2</v>
      </c>
      <c r="U8" s="14">
        <v>8</v>
      </c>
      <c r="V8" s="14">
        <v>5</v>
      </c>
      <c r="W8" s="44">
        <f t="shared" si="0"/>
        <v>2368</v>
      </c>
      <c r="X8" s="44">
        <f t="shared" si="1"/>
        <v>82</v>
      </c>
      <c r="Y8" s="40">
        <f t="shared" si="2"/>
        <v>3.346938775510204E-2</v>
      </c>
    </row>
    <row r="9" spans="1:27" ht="14.25" customHeight="1" x14ac:dyDescent="0.3">
      <c r="A9" s="7" t="s">
        <v>502</v>
      </c>
      <c r="B9" s="7" t="s">
        <v>470</v>
      </c>
      <c r="C9" s="7" t="s">
        <v>471</v>
      </c>
      <c r="D9" s="24">
        <v>46255</v>
      </c>
      <c r="E9" s="14">
        <v>3320</v>
      </c>
      <c r="F9" s="14">
        <v>28</v>
      </c>
      <c r="G9" s="14">
        <v>18</v>
      </c>
      <c r="H9" s="14">
        <v>11</v>
      </c>
      <c r="I9" s="14">
        <v>9</v>
      </c>
      <c r="J9" s="14">
        <v>7</v>
      </c>
      <c r="K9" s="14">
        <v>6</v>
      </c>
      <c r="L9" s="14">
        <v>4</v>
      </c>
      <c r="M9" s="14">
        <v>3</v>
      </c>
      <c r="N9" s="14">
        <v>4</v>
      </c>
      <c r="O9" s="14">
        <v>8</v>
      </c>
      <c r="P9" s="14">
        <v>6</v>
      </c>
      <c r="Q9" s="14">
        <v>14</v>
      </c>
      <c r="R9" s="14">
        <v>10</v>
      </c>
      <c r="S9" s="14">
        <v>7</v>
      </c>
      <c r="T9" s="14">
        <v>5</v>
      </c>
      <c r="U9" s="14">
        <v>16</v>
      </c>
      <c r="V9" s="14">
        <v>9</v>
      </c>
      <c r="W9" s="44">
        <f t="shared" si="0"/>
        <v>3155</v>
      </c>
      <c r="X9" s="44">
        <f t="shared" si="1"/>
        <v>165</v>
      </c>
      <c r="Y9" s="40">
        <f t="shared" si="2"/>
        <v>4.9698795180722892E-2</v>
      </c>
    </row>
    <row r="10" spans="1:27" ht="14.25" customHeight="1" x14ac:dyDescent="0.3">
      <c r="A10" s="7" t="s">
        <v>502</v>
      </c>
      <c r="B10" s="7" t="s">
        <v>470</v>
      </c>
      <c r="C10" s="7" t="s">
        <v>471</v>
      </c>
      <c r="D10" s="24">
        <v>46257</v>
      </c>
      <c r="E10" s="14">
        <v>3410</v>
      </c>
      <c r="F10" s="14">
        <v>19</v>
      </c>
      <c r="G10" s="14">
        <v>12</v>
      </c>
      <c r="H10" s="14">
        <v>7</v>
      </c>
      <c r="I10" s="14">
        <v>5</v>
      </c>
      <c r="J10" s="14">
        <v>4</v>
      </c>
      <c r="K10" s="14">
        <v>4</v>
      </c>
      <c r="L10" s="14">
        <v>3</v>
      </c>
      <c r="M10" s="14">
        <v>2</v>
      </c>
      <c r="N10" s="14">
        <v>2</v>
      </c>
      <c r="O10" s="14">
        <v>5</v>
      </c>
      <c r="P10" s="14">
        <v>4</v>
      </c>
      <c r="Q10" s="14">
        <v>8</v>
      </c>
      <c r="R10" s="14">
        <v>6</v>
      </c>
      <c r="S10" s="14">
        <v>4</v>
      </c>
      <c r="T10" s="14">
        <v>3</v>
      </c>
      <c r="U10" s="14">
        <v>10</v>
      </c>
      <c r="V10" s="14">
        <v>6</v>
      </c>
      <c r="W10" s="44">
        <f t="shared" si="0"/>
        <v>3306</v>
      </c>
      <c r="X10" s="44">
        <f t="shared" si="1"/>
        <v>104</v>
      </c>
      <c r="Y10" s="40">
        <f t="shared" si="2"/>
        <v>3.0498533724340176E-2</v>
      </c>
    </row>
    <row r="11" spans="1:27" ht="14.25" customHeight="1" x14ac:dyDescent="0.3">
      <c r="A11" s="7" t="s">
        <v>503</v>
      </c>
      <c r="B11" s="7" t="s">
        <v>467</v>
      </c>
      <c r="C11" s="7" t="s">
        <v>468</v>
      </c>
      <c r="D11" s="24">
        <v>46258</v>
      </c>
      <c r="E11" s="14">
        <v>1860</v>
      </c>
      <c r="F11" s="14">
        <v>24</v>
      </c>
      <c r="G11" s="14">
        <v>15</v>
      </c>
      <c r="H11" s="14">
        <v>9</v>
      </c>
      <c r="I11" s="14">
        <v>7</v>
      </c>
      <c r="J11" s="14">
        <v>6</v>
      </c>
      <c r="K11" s="14">
        <v>5</v>
      </c>
      <c r="L11" s="14">
        <v>3</v>
      </c>
      <c r="M11" s="14">
        <v>3</v>
      </c>
      <c r="N11" s="14">
        <v>3</v>
      </c>
      <c r="O11" s="14">
        <v>7</v>
      </c>
      <c r="P11" s="14">
        <v>5</v>
      </c>
      <c r="Q11" s="14">
        <v>11</v>
      </c>
      <c r="R11" s="14">
        <v>8</v>
      </c>
      <c r="S11" s="14">
        <v>6</v>
      </c>
      <c r="T11" s="14">
        <v>4</v>
      </c>
      <c r="U11" s="14">
        <v>13</v>
      </c>
      <c r="V11" s="14">
        <v>8</v>
      </c>
      <c r="W11" s="44">
        <f t="shared" si="0"/>
        <v>1723</v>
      </c>
      <c r="X11" s="44">
        <f t="shared" si="1"/>
        <v>137</v>
      </c>
      <c r="Y11" s="40">
        <f t="shared" si="2"/>
        <v>7.3655913978494622E-2</v>
      </c>
    </row>
    <row r="12" spans="1:27" ht="14.25" customHeight="1" x14ac:dyDescent="0.3">
      <c r="A12" s="7" t="s">
        <v>507</v>
      </c>
      <c r="B12" s="7" t="s">
        <v>470</v>
      </c>
      <c r="C12" s="7" t="s">
        <v>471</v>
      </c>
      <c r="D12" s="24">
        <v>46260</v>
      </c>
      <c r="E12" s="14">
        <v>4780</v>
      </c>
      <c r="F12" s="14">
        <v>31</v>
      </c>
      <c r="G12" s="14">
        <v>20</v>
      </c>
      <c r="H12" s="14">
        <v>13</v>
      </c>
      <c r="I12" s="14">
        <v>10</v>
      </c>
      <c r="J12" s="14">
        <v>8</v>
      </c>
      <c r="K12" s="14">
        <v>7</v>
      </c>
      <c r="L12" s="14">
        <v>5</v>
      </c>
      <c r="M12" s="14">
        <v>4</v>
      </c>
      <c r="N12" s="14">
        <v>5</v>
      </c>
      <c r="O12" s="14">
        <v>9</v>
      </c>
      <c r="P12" s="14">
        <v>7</v>
      </c>
      <c r="Q12" s="14">
        <v>16</v>
      </c>
      <c r="R12" s="14">
        <v>12</v>
      </c>
      <c r="S12" s="14">
        <v>8</v>
      </c>
      <c r="T12" s="14">
        <v>6</v>
      </c>
      <c r="U12" s="14">
        <v>19</v>
      </c>
      <c r="V12" s="14">
        <v>11</v>
      </c>
      <c r="W12" s="44">
        <f t="shared" si="0"/>
        <v>4589</v>
      </c>
      <c r="X12" s="44">
        <f t="shared" si="1"/>
        <v>191</v>
      </c>
      <c r="Y12" s="40">
        <f t="shared" si="2"/>
        <v>3.9958158995815903E-2</v>
      </c>
    </row>
    <row r="13" spans="1:27" ht="14.25" customHeight="1" x14ac:dyDescent="0.3">
      <c r="A13" s="7" t="s">
        <v>510</v>
      </c>
      <c r="B13" s="7" t="s">
        <v>467</v>
      </c>
      <c r="C13" s="7" t="s">
        <v>468</v>
      </c>
      <c r="D13" s="24">
        <v>46262</v>
      </c>
      <c r="E13" s="14">
        <v>2890</v>
      </c>
      <c r="F13" s="14">
        <v>17</v>
      </c>
      <c r="G13" s="14">
        <v>11</v>
      </c>
      <c r="H13" s="14">
        <v>7</v>
      </c>
      <c r="I13" s="14">
        <v>5</v>
      </c>
      <c r="J13" s="14">
        <v>4</v>
      </c>
      <c r="K13" s="14">
        <v>3</v>
      </c>
      <c r="L13" s="14">
        <v>3</v>
      </c>
      <c r="M13" s="14">
        <v>2</v>
      </c>
      <c r="N13" s="14">
        <v>2</v>
      </c>
      <c r="O13" s="14">
        <v>5</v>
      </c>
      <c r="P13" s="14">
        <v>4</v>
      </c>
      <c r="Q13" s="14">
        <v>9</v>
      </c>
      <c r="R13" s="14">
        <v>6</v>
      </c>
      <c r="S13" s="14">
        <v>4</v>
      </c>
      <c r="T13" s="14">
        <v>3</v>
      </c>
      <c r="U13" s="14">
        <v>11</v>
      </c>
      <c r="V13" s="14">
        <v>6</v>
      </c>
      <c r="W13" s="44">
        <f t="shared" si="0"/>
        <v>2788</v>
      </c>
      <c r="X13" s="44">
        <f t="shared" si="1"/>
        <v>102</v>
      </c>
      <c r="Y13" s="40">
        <f t="shared" si="2"/>
        <v>3.5294117647058823E-2</v>
      </c>
    </row>
  </sheetData>
  <mergeCells count="3">
    <mergeCell ref="L1:O1"/>
    <mergeCell ref="L2:O2"/>
    <mergeCell ref="F5:V5"/>
  </mergeCells>
  <dataValidations count="3">
    <dataValidation type="list" allowBlank="1" errorTitle="Not in master" error="Value must be chosen from the master list." promptTitle="Master-driven list" prompt="Select from M_OrderNo" sqref="A7:A500" xr:uid="{00000000-0002-0000-1B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EmpID" sqref="B7:B500" xr:uid="{00000000-0002-0000-1B00-000001000000}">
      <formula1>M_EmpID</formula1>
      <formula2>0</formula2>
    </dataValidation>
    <dataValidation type="list" allowBlank="1" errorTitle="Not in master" error="Value must be chosen from the master list." promptTitle="Master-driven list" prompt="Select from M_EmpName" sqref="C7:C500" xr:uid="{00000000-0002-0000-1B00-000002000000}">
      <formula1>M_EmpName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I41"/>
  <sheetViews>
    <sheetView zoomScaleNormal="100" workbookViewId="0">
      <pane ySplit="5" topLeftCell="A6" activePane="bottomLeft" state="frozen"/>
      <selection pane="bottomLeft" activeCell="A41" sqref="A41"/>
    </sheetView>
  </sheetViews>
  <sheetFormatPr defaultColWidth="8.5546875" defaultRowHeight="14.4" x14ac:dyDescent="0.3"/>
  <cols>
    <col min="1" max="1" width="32.33203125" bestFit="1" customWidth="1"/>
    <col min="2" max="3" width="32.33203125" customWidth="1"/>
    <col min="4" max="4" width="34" customWidth="1"/>
    <col min="5" max="7" width="12" customWidth="1"/>
    <col min="8" max="8" width="10" customWidth="1"/>
    <col min="9" max="9" width="26" customWidth="1"/>
  </cols>
  <sheetData>
    <row r="1" spans="1:9" ht="19.5" customHeight="1" x14ac:dyDescent="0.3">
      <c r="A1" s="3" t="s">
        <v>791</v>
      </c>
      <c r="B1" s="3"/>
      <c r="D1" s="132" t="s">
        <v>1</v>
      </c>
      <c r="E1" s="132"/>
      <c r="F1" s="132"/>
      <c r="G1" s="132"/>
      <c r="H1" s="132"/>
    </row>
    <row r="2" spans="1:9" ht="15" customHeight="1" x14ac:dyDescent="0.3">
      <c r="D2" s="133" t="s">
        <v>792</v>
      </c>
      <c r="E2" s="133"/>
      <c r="F2" s="133"/>
      <c r="G2" s="133"/>
      <c r="H2" s="133"/>
    </row>
    <row r="3" spans="1:9" ht="15" customHeight="1" x14ac:dyDescent="0.3">
      <c r="A3" s="100" t="s">
        <v>519</v>
      </c>
      <c r="B3" s="100" t="s">
        <v>487</v>
      </c>
      <c r="C3" s="100" t="s">
        <v>953</v>
      </c>
      <c r="D3" s="57" t="s">
        <v>793</v>
      </c>
      <c r="E3" s="57" t="s">
        <v>794</v>
      </c>
      <c r="F3" s="57" t="s">
        <v>795</v>
      </c>
      <c r="G3" s="57" t="s">
        <v>796</v>
      </c>
      <c r="H3" s="57" t="s">
        <v>797</v>
      </c>
      <c r="I3" s="57" t="s">
        <v>521</v>
      </c>
    </row>
    <row r="4" spans="1:9" ht="15" customHeight="1" x14ac:dyDescent="0.3">
      <c r="A4" s="34" t="s">
        <v>277</v>
      </c>
      <c r="B4" s="102" t="s">
        <v>279</v>
      </c>
      <c r="C4" s="101" t="s">
        <v>277</v>
      </c>
      <c r="D4" s="34" t="s">
        <v>277</v>
      </c>
      <c r="E4" s="11" t="s">
        <v>278</v>
      </c>
      <c r="F4" s="11" t="s">
        <v>278</v>
      </c>
      <c r="G4" s="11" t="s">
        <v>278</v>
      </c>
      <c r="H4" s="34" t="s">
        <v>537</v>
      </c>
      <c r="I4" s="11" t="s">
        <v>357</v>
      </c>
    </row>
    <row r="5" spans="1:9" ht="15" customHeight="1" x14ac:dyDescent="0.3">
      <c r="A5" s="24">
        <v>46251</v>
      </c>
      <c r="B5" s="24"/>
      <c r="C5" s="24"/>
      <c r="D5" s="3" t="s">
        <v>798</v>
      </c>
      <c r="H5" s="3" t="s">
        <v>799</v>
      </c>
    </row>
    <row r="6" spans="1:9" ht="15" customHeight="1" x14ac:dyDescent="0.3">
      <c r="A6" s="24">
        <v>46252</v>
      </c>
      <c r="B6" s="24"/>
      <c r="C6" s="24"/>
      <c r="D6" s="7" t="s">
        <v>82</v>
      </c>
      <c r="E6" s="10"/>
      <c r="F6" s="10"/>
      <c r="G6" s="10"/>
      <c r="H6" s="10">
        <f t="shared" ref="H6:H31" si="0">SUM(E6:G6)</f>
        <v>0</v>
      </c>
      <c r="I6" s="7"/>
    </row>
    <row r="7" spans="1:9" ht="15" customHeight="1" x14ac:dyDescent="0.3">
      <c r="A7" s="24">
        <v>46253</v>
      </c>
      <c r="B7" s="24"/>
      <c r="C7" s="24"/>
      <c r="D7" s="7" t="s">
        <v>120</v>
      </c>
      <c r="E7" s="10"/>
      <c r="F7" s="10"/>
      <c r="G7" s="10"/>
      <c r="H7" s="10">
        <f t="shared" si="0"/>
        <v>0</v>
      </c>
      <c r="I7" s="7"/>
    </row>
    <row r="8" spans="1:9" ht="15" customHeight="1" x14ac:dyDescent="0.3">
      <c r="A8" s="24">
        <v>46255</v>
      </c>
      <c r="B8" s="24"/>
      <c r="C8" s="24"/>
      <c r="D8" s="7" t="s">
        <v>148</v>
      </c>
      <c r="E8" s="10"/>
      <c r="F8" s="10"/>
      <c r="G8" s="10"/>
      <c r="H8" s="10">
        <f t="shared" si="0"/>
        <v>0</v>
      </c>
      <c r="I8" s="7"/>
    </row>
    <row r="9" spans="1:9" ht="15" customHeight="1" x14ac:dyDescent="0.3">
      <c r="A9" s="24">
        <v>46257</v>
      </c>
      <c r="B9" s="24"/>
      <c r="C9" s="24"/>
      <c r="D9" s="7" t="s">
        <v>173</v>
      </c>
      <c r="E9" s="10"/>
      <c r="F9" s="10"/>
      <c r="G9" s="10"/>
      <c r="H9" s="10">
        <f t="shared" si="0"/>
        <v>0</v>
      </c>
      <c r="I9" s="7"/>
    </row>
    <row r="10" spans="1:9" ht="15" customHeight="1" x14ac:dyDescent="0.3">
      <c r="A10" s="24">
        <v>46258</v>
      </c>
      <c r="B10" s="24"/>
      <c r="C10" s="24"/>
      <c r="D10" s="7" t="s">
        <v>195</v>
      </c>
      <c r="E10" s="10"/>
      <c r="F10" s="10"/>
      <c r="G10" s="10"/>
      <c r="H10" s="10">
        <f t="shared" si="0"/>
        <v>0</v>
      </c>
      <c r="I10" s="7"/>
    </row>
    <row r="11" spans="1:9" ht="15" customHeight="1" x14ac:dyDescent="0.3">
      <c r="A11" s="24">
        <v>46260</v>
      </c>
      <c r="B11" s="24"/>
      <c r="C11" s="24"/>
      <c r="D11" s="7" t="s">
        <v>210</v>
      </c>
      <c r="E11" s="10"/>
      <c r="F11" s="10"/>
      <c r="G11" s="10"/>
      <c r="H11" s="10">
        <f t="shared" si="0"/>
        <v>0</v>
      </c>
      <c r="I11" s="7"/>
    </row>
    <row r="12" spans="1:9" ht="15" customHeight="1" x14ac:dyDescent="0.3">
      <c r="A12" s="24">
        <v>46262</v>
      </c>
      <c r="B12" s="24"/>
      <c r="C12" s="24"/>
      <c r="D12" s="7" t="s">
        <v>222</v>
      </c>
      <c r="E12" s="10"/>
      <c r="F12" s="10"/>
      <c r="G12" s="10"/>
      <c r="H12" s="10">
        <f t="shared" si="0"/>
        <v>0</v>
      </c>
      <c r="I12" s="7"/>
    </row>
    <row r="13" spans="1:9" ht="15" customHeight="1" x14ac:dyDescent="0.3">
      <c r="A13" s="24">
        <v>46252</v>
      </c>
      <c r="B13" s="24"/>
      <c r="C13" s="24"/>
      <c r="D13" s="7" t="s">
        <v>229</v>
      </c>
      <c r="E13" s="10"/>
      <c r="F13" s="10"/>
      <c r="G13" s="10"/>
      <c r="H13" s="10">
        <f t="shared" si="0"/>
        <v>0</v>
      </c>
      <c r="I13" s="7"/>
    </row>
    <row r="14" spans="1:9" ht="15" customHeight="1" x14ac:dyDescent="0.3">
      <c r="A14" s="24">
        <v>46253</v>
      </c>
      <c r="B14" s="24"/>
      <c r="C14" s="24"/>
      <c r="D14" s="7" t="s">
        <v>233</v>
      </c>
      <c r="E14" s="10"/>
      <c r="F14" s="10"/>
      <c r="G14" s="10">
        <v>1</v>
      </c>
      <c r="H14" s="10">
        <f t="shared" si="0"/>
        <v>1</v>
      </c>
      <c r="I14" s="7"/>
    </row>
    <row r="15" spans="1:9" ht="15" customHeight="1" x14ac:dyDescent="0.3">
      <c r="A15" s="24">
        <v>46255</v>
      </c>
      <c r="B15" s="24"/>
      <c r="C15" s="24"/>
      <c r="D15" s="7" t="s">
        <v>235</v>
      </c>
      <c r="E15" s="10"/>
      <c r="F15" s="10"/>
      <c r="G15" s="10"/>
      <c r="H15" s="10">
        <f t="shared" si="0"/>
        <v>0</v>
      </c>
      <c r="I15" s="7"/>
    </row>
    <row r="16" spans="1:9" ht="15" customHeight="1" x14ac:dyDescent="0.3">
      <c r="A16" s="24">
        <v>46257</v>
      </c>
      <c r="B16" s="24"/>
      <c r="C16" s="24"/>
      <c r="D16" s="7" t="s">
        <v>237</v>
      </c>
      <c r="E16" s="10"/>
      <c r="F16" s="10"/>
      <c r="G16" s="10"/>
      <c r="H16" s="10">
        <f t="shared" si="0"/>
        <v>0</v>
      </c>
      <c r="I16" s="7"/>
    </row>
    <row r="17" spans="1:9" ht="15" customHeight="1" x14ac:dyDescent="0.3">
      <c r="A17" s="24">
        <v>46252</v>
      </c>
      <c r="B17" s="24"/>
      <c r="C17" s="24"/>
      <c r="D17" s="7" t="s">
        <v>239</v>
      </c>
      <c r="E17" s="10"/>
      <c r="F17" s="10"/>
      <c r="G17" s="10"/>
      <c r="H17" s="10">
        <f t="shared" si="0"/>
        <v>0</v>
      </c>
      <c r="I17" s="7"/>
    </row>
    <row r="18" spans="1:9" ht="15" customHeight="1" x14ac:dyDescent="0.3">
      <c r="A18" s="24">
        <v>46253</v>
      </c>
      <c r="B18" s="24"/>
      <c r="C18" s="24"/>
      <c r="D18" s="7" t="s">
        <v>241</v>
      </c>
      <c r="E18" s="10"/>
      <c r="F18" s="10"/>
      <c r="G18" s="10"/>
      <c r="H18" s="10">
        <f t="shared" si="0"/>
        <v>0</v>
      </c>
      <c r="I18" s="7"/>
    </row>
    <row r="19" spans="1:9" ht="15" customHeight="1" x14ac:dyDescent="0.3">
      <c r="A19" s="24">
        <v>46255</v>
      </c>
      <c r="B19" s="24"/>
      <c r="C19" s="24"/>
      <c r="D19" s="7" t="s">
        <v>243</v>
      </c>
      <c r="E19" s="10"/>
      <c r="F19" s="10"/>
      <c r="G19" s="10"/>
      <c r="H19" s="10">
        <f t="shared" si="0"/>
        <v>0</v>
      </c>
      <c r="I19" s="7"/>
    </row>
    <row r="20" spans="1:9" ht="15" customHeight="1" x14ac:dyDescent="0.3">
      <c r="A20" s="24">
        <v>46257</v>
      </c>
      <c r="B20" s="24"/>
      <c r="C20" s="24"/>
      <c r="D20" s="7" t="s">
        <v>245</v>
      </c>
      <c r="E20" s="10"/>
      <c r="F20" s="10"/>
      <c r="G20" s="10"/>
      <c r="H20" s="10">
        <f t="shared" si="0"/>
        <v>0</v>
      </c>
      <c r="I20" s="7"/>
    </row>
    <row r="21" spans="1:9" ht="15" customHeight="1" x14ac:dyDescent="0.3">
      <c r="A21" s="24">
        <v>46258</v>
      </c>
      <c r="B21" s="24"/>
      <c r="C21" s="24"/>
      <c r="D21" s="7" t="s">
        <v>247</v>
      </c>
      <c r="E21" s="10"/>
      <c r="F21" s="10"/>
      <c r="G21" s="10"/>
      <c r="H21" s="10">
        <f t="shared" si="0"/>
        <v>0</v>
      </c>
      <c r="I21" s="7"/>
    </row>
    <row r="22" spans="1:9" ht="15" customHeight="1" x14ac:dyDescent="0.3">
      <c r="A22" s="24">
        <v>46260</v>
      </c>
      <c r="B22" s="24"/>
      <c r="C22" s="24"/>
      <c r="D22" s="7" t="s">
        <v>248</v>
      </c>
      <c r="E22" s="10"/>
      <c r="F22" s="10"/>
      <c r="G22" s="10"/>
      <c r="H22" s="10">
        <f t="shared" si="0"/>
        <v>0</v>
      </c>
      <c r="I22" s="7"/>
    </row>
    <row r="23" spans="1:9" ht="15" customHeight="1" x14ac:dyDescent="0.3">
      <c r="A23" s="24">
        <v>46262</v>
      </c>
      <c r="B23" s="24"/>
      <c r="C23" s="24"/>
      <c r="D23" s="7" t="s">
        <v>249</v>
      </c>
      <c r="E23" s="10"/>
      <c r="F23" s="10"/>
      <c r="G23" s="10"/>
      <c r="H23" s="10">
        <f t="shared" si="0"/>
        <v>0</v>
      </c>
      <c r="I23" s="7"/>
    </row>
    <row r="24" spans="1:9" ht="15" customHeight="1" x14ac:dyDescent="0.3">
      <c r="A24" s="24">
        <v>46252</v>
      </c>
      <c r="B24" s="24"/>
      <c r="C24" s="24"/>
      <c r="D24" s="7" t="s">
        <v>250</v>
      </c>
      <c r="E24" s="10"/>
      <c r="F24" s="10"/>
      <c r="G24" s="10"/>
      <c r="H24" s="10">
        <f t="shared" si="0"/>
        <v>0</v>
      </c>
      <c r="I24" s="7"/>
    </row>
    <row r="25" spans="1:9" ht="15" customHeight="1" x14ac:dyDescent="0.3">
      <c r="A25" s="24">
        <v>46253</v>
      </c>
      <c r="B25" s="24"/>
      <c r="C25" s="24"/>
      <c r="D25" s="7" t="s">
        <v>251</v>
      </c>
      <c r="E25" s="10"/>
      <c r="F25" s="10"/>
      <c r="G25" s="10"/>
      <c r="H25" s="10">
        <f t="shared" si="0"/>
        <v>0</v>
      </c>
      <c r="I25" s="7"/>
    </row>
    <row r="26" spans="1:9" ht="15" customHeight="1" x14ac:dyDescent="0.3">
      <c r="A26" s="24">
        <v>46255</v>
      </c>
      <c r="B26" s="24"/>
      <c r="C26" s="24"/>
      <c r="D26" s="7" t="s">
        <v>252</v>
      </c>
      <c r="E26" s="10"/>
      <c r="F26" s="10"/>
      <c r="G26" s="10"/>
      <c r="H26" s="10">
        <f t="shared" si="0"/>
        <v>0</v>
      </c>
      <c r="I26" s="7"/>
    </row>
    <row r="27" spans="1:9" ht="15" customHeight="1" x14ac:dyDescent="0.3">
      <c r="A27" s="24">
        <v>46257</v>
      </c>
      <c r="B27" s="24"/>
      <c r="C27" s="24"/>
      <c r="D27" s="7" t="s">
        <v>253</v>
      </c>
      <c r="E27" s="10"/>
      <c r="F27" s="10"/>
      <c r="G27" s="10"/>
      <c r="H27" s="10">
        <f t="shared" si="0"/>
        <v>0</v>
      </c>
      <c r="I27" s="7"/>
    </row>
    <row r="28" spans="1:9" ht="15" customHeight="1" x14ac:dyDescent="0.3">
      <c r="A28" s="24">
        <v>46252</v>
      </c>
      <c r="B28" s="24"/>
      <c r="C28" s="24"/>
      <c r="D28" s="7" t="s">
        <v>254</v>
      </c>
      <c r="E28" s="10"/>
      <c r="F28" s="10"/>
      <c r="G28" s="10"/>
      <c r="H28" s="10">
        <f t="shared" si="0"/>
        <v>0</v>
      </c>
      <c r="I28" s="7"/>
    </row>
    <row r="29" spans="1:9" ht="15" customHeight="1" x14ac:dyDescent="0.3">
      <c r="A29" s="24">
        <v>46253</v>
      </c>
      <c r="B29" s="24"/>
      <c r="C29" s="24"/>
      <c r="D29" s="7" t="s">
        <v>255</v>
      </c>
      <c r="E29" s="10"/>
      <c r="F29" s="10"/>
      <c r="G29" s="10"/>
      <c r="H29" s="10">
        <f t="shared" si="0"/>
        <v>0</v>
      </c>
      <c r="I29" s="7"/>
    </row>
    <row r="30" spans="1:9" ht="15" customHeight="1" x14ac:dyDescent="0.3">
      <c r="A30" s="24">
        <v>46255</v>
      </c>
      <c r="B30" s="24"/>
      <c r="C30" s="24"/>
      <c r="D30" s="7" t="s">
        <v>256</v>
      </c>
      <c r="E30" s="10"/>
      <c r="F30" s="10"/>
      <c r="G30" s="10"/>
      <c r="H30" s="10">
        <f t="shared" si="0"/>
        <v>0</v>
      </c>
      <c r="I30" s="7"/>
    </row>
    <row r="31" spans="1:9" ht="15" customHeight="1" x14ac:dyDescent="0.3">
      <c r="A31" s="24">
        <v>46257</v>
      </c>
      <c r="B31" s="24"/>
      <c r="C31" s="24"/>
      <c r="D31" s="7" t="s">
        <v>257</v>
      </c>
      <c r="E31" s="10"/>
      <c r="F31" s="10"/>
      <c r="G31" s="10"/>
      <c r="H31" s="10">
        <f t="shared" si="0"/>
        <v>0</v>
      </c>
      <c r="I31" s="7"/>
    </row>
    <row r="32" spans="1:9" ht="15" customHeight="1" x14ac:dyDescent="0.3">
      <c r="A32" s="58"/>
      <c r="B32" s="58"/>
      <c r="C32" s="58"/>
      <c r="D32" s="58" t="s">
        <v>797</v>
      </c>
      <c r="E32" s="58">
        <f>SUM(E6:E31)</f>
        <v>0</v>
      </c>
      <c r="F32" s="58">
        <f>SUM(F6:F31)</f>
        <v>0</v>
      </c>
      <c r="G32" s="58">
        <f>SUM(G6:G31)</f>
        <v>1</v>
      </c>
      <c r="H32" s="58">
        <f>SUM(H6:H31)</f>
        <v>1</v>
      </c>
      <c r="I32" s="58"/>
    </row>
    <row r="33" spans="1:9" ht="15" customHeight="1" x14ac:dyDescent="0.3">
      <c r="A33" s="8"/>
      <c r="B33" s="8"/>
      <c r="C33" s="8"/>
      <c r="D33" s="59" t="s">
        <v>800</v>
      </c>
      <c r="E33" s="60">
        <v>100</v>
      </c>
      <c r="F33" s="7" t="s">
        <v>124</v>
      </c>
      <c r="G33" s="8"/>
      <c r="H33" s="8"/>
      <c r="I33" s="8"/>
    </row>
    <row r="34" spans="1:9" ht="15" customHeight="1" x14ac:dyDescent="0.3">
      <c r="A34" s="8"/>
      <c r="B34" s="8"/>
      <c r="C34" s="8"/>
      <c r="D34" s="59" t="s">
        <v>801</v>
      </c>
      <c r="E34" s="61">
        <f>E32</f>
        <v>0</v>
      </c>
      <c r="F34" s="7" t="s">
        <v>124</v>
      </c>
      <c r="G34" s="8"/>
      <c r="H34" s="8"/>
      <c r="I34" s="8"/>
    </row>
    <row r="35" spans="1:9" ht="15" customHeight="1" x14ac:dyDescent="0.3">
      <c r="A35" s="8"/>
      <c r="B35" s="8"/>
      <c r="C35" s="8"/>
      <c r="D35" s="59" t="s">
        <v>802</v>
      </c>
      <c r="E35" s="61">
        <f>F32</f>
        <v>0</v>
      </c>
      <c r="F35" s="7" t="s">
        <v>124</v>
      </c>
      <c r="G35" s="8"/>
      <c r="H35" s="8"/>
      <c r="I35" s="8"/>
    </row>
    <row r="36" spans="1:9" ht="15" customHeight="1" x14ac:dyDescent="0.3">
      <c r="A36" s="8"/>
      <c r="B36" s="8"/>
      <c r="C36" s="8"/>
      <c r="D36" s="59" t="s">
        <v>803</v>
      </c>
      <c r="E36" s="61">
        <f>G32</f>
        <v>1</v>
      </c>
      <c r="F36" s="7" t="s">
        <v>124</v>
      </c>
      <c r="G36" s="8"/>
      <c r="H36" s="8"/>
      <c r="I36" s="8"/>
    </row>
    <row r="37" spans="1:9" ht="15" customHeight="1" x14ac:dyDescent="0.3">
      <c r="A37" s="8"/>
      <c r="B37" s="8"/>
      <c r="C37" s="8"/>
      <c r="D37" s="59" t="s">
        <v>771</v>
      </c>
      <c r="E37" s="61">
        <f>H32</f>
        <v>1</v>
      </c>
      <c r="F37" s="7" t="s">
        <v>124</v>
      </c>
      <c r="G37" s="8"/>
      <c r="H37" s="8"/>
      <c r="I37" s="8"/>
    </row>
    <row r="38" spans="1:9" ht="15" customHeight="1" x14ac:dyDescent="0.3">
      <c r="A38" s="8"/>
      <c r="B38" s="8"/>
      <c r="C38" s="8"/>
      <c r="D38" s="59" t="s">
        <v>804</v>
      </c>
      <c r="E38" s="61">
        <f>E33-E37</f>
        <v>99</v>
      </c>
      <c r="F38" s="7" t="s">
        <v>124</v>
      </c>
      <c r="G38" s="8"/>
      <c r="H38" s="8"/>
      <c r="I38" s="8"/>
    </row>
    <row r="39" spans="1:9" ht="15" customHeight="1" x14ac:dyDescent="0.3">
      <c r="A39" s="8"/>
      <c r="B39" s="8"/>
      <c r="C39" s="8"/>
      <c r="D39" s="59" t="s">
        <v>805</v>
      </c>
      <c r="E39" s="62">
        <f>IF(E33=0,0,E37/E33)</f>
        <v>0.01</v>
      </c>
      <c r="F39" s="7"/>
      <c r="G39" s="8"/>
      <c r="H39" s="8"/>
      <c r="I39" s="8"/>
    </row>
    <row r="41" spans="1:9" ht="15" customHeight="1" x14ac:dyDescent="0.3">
      <c r="A41" s="63"/>
      <c r="B41" s="63"/>
      <c r="C41" s="63"/>
      <c r="D41" s="3"/>
    </row>
  </sheetData>
  <mergeCells count="2">
    <mergeCell ref="D1:H1"/>
    <mergeCell ref="D2:H2"/>
  </mergeCells>
  <dataValidations count="1">
    <dataValidation type="list" allowBlank="1" sqref="D6:D31" xr:uid="{00000000-0002-0000-1C00-000002000000}">
      <formula1>L_InspDefect26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J13"/>
  <sheetViews>
    <sheetView zoomScaleNormal="100" workbookViewId="0">
      <pane ySplit="6" topLeftCell="A7" activePane="bottomLeft" state="frozen"/>
      <selection pane="bottomLeft" activeCell="H27" sqref="H27"/>
    </sheetView>
  </sheetViews>
  <sheetFormatPr defaultColWidth="8.5546875" defaultRowHeight="14.4" x14ac:dyDescent="0.3"/>
  <cols>
    <col min="1" max="1" width="13" customWidth="1"/>
    <col min="2" max="2" width="11.6640625" bestFit="1" customWidth="1"/>
    <col min="3" max="3" width="26" customWidth="1"/>
    <col min="4" max="4" width="13" customWidth="1"/>
    <col min="5" max="5" width="32" customWidth="1"/>
    <col min="6" max="6" width="13" customWidth="1"/>
    <col min="7" max="7" width="21" customWidth="1"/>
    <col min="8" max="8" width="32" customWidth="1"/>
  </cols>
  <sheetData>
    <row r="1" spans="1:10" ht="21" customHeight="1" x14ac:dyDescent="0.3">
      <c r="A1" s="147" t="s">
        <v>732</v>
      </c>
      <c r="B1" s="147"/>
      <c r="C1" s="146"/>
      <c r="D1" s="146"/>
      <c r="E1" s="146" t="s">
        <v>1</v>
      </c>
      <c r="F1" s="146"/>
      <c r="J1" s="28"/>
    </row>
    <row r="2" spans="1:10" ht="21" customHeight="1" x14ac:dyDescent="0.3">
      <c r="C2" s="118" t="s">
        <v>806</v>
      </c>
      <c r="D2" s="118"/>
      <c r="E2" s="118"/>
      <c r="F2" s="118"/>
    </row>
    <row r="4" spans="1:10" ht="15" customHeight="1" x14ac:dyDescent="0.3">
      <c r="A4" s="5" t="s">
        <v>487</v>
      </c>
      <c r="B4" s="5" t="s">
        <v>422</v>
      </c>
      <c r="C4" s="5" t="s">
        <v>807</v>
      </c>
      <c r="D4" s="5" t="s">
        <v>808</v>
      </c>
      <c r="E4" s="5" t="s">
        <v>809</v>
      </c>
      <c r="F4" s="5" t="s">
        <v>810</v>
      </c>
      <c r="G4" s="5" t="s">
        <v>811</v>
      </c>
      <c r="H4" s="5" t="s">
        <v>356</v>
      </c>
    </row>
    <row r="5" spans="1:10" ht="14.25" customHeight="1" x14ac:dyDescent="0.3">
      <c r="A5" s="29" t="s">
        <v>279</v>
      </c>
      <c r="B5" s="144" t="s">
        <v>277</v>
      </c>
      <c r="C5" s="43" t="s">
        <v>746</v>
      </c>
      <c r="D5" s="30" t="s">
        <v>278</v>
      </c>
      <c r="E5" s="30" t="s">
        <v>278</v>
      </c>
      <c r="F5" s="30" t="s">
        <v>278</v>
      </c>
      <c r="G5" s="43" t="s">
        <v>277</v>
      </c>
      <c r="H5" s="30" t="s">
        <v>357</v>
      </c>
    </row>
    <row r="6" spans="1:10" ht="14.25" customHeight="1" x14ac:dyDescent="0.3">
      <c r="C6" s="22" t="s">
        <v>812</v>
      </c>
      <c r="E6" s="22" t="s">
        <v>813</v>
      </c>
      <c r="F6" s="22" t="s">
        <v>667</v>
      </c>
    </row>
    <row r="7" spans="1:10" ht="14.25" customHeight="1" x14ac:dyDescent="0.3">
      <c r="A7" s="7" t="s">
        <v>498</v>
      </c>
      <c r="B7" s="7" t="s">
        <v>430</v>
      </c>
      <c r="C7" s="24">
        <v>46254</v>
      </c>
      <c r="D7" s="14">
        <v>110</v>
      </c>
      <c r="E7" s="14">
        <v>92</v>
      </c>
      <c r="F7" s="14">
        <v>18</v>
      </c>
      <c r="G7" s="40">
        <f t="shared" ref="G7:G13" si="0">IFERROR(F7/D7,0)</f>
        <v>0.16363636363636364</v>
      </c>
      <c r="H7" s="64" t="s">
        <v>814</v>
      </c>
    </row>
    <row r="8" spans="1:10" ht="14.25" customHeight="1" x14ac:dyDescent="0.3">
      <c r="A8" s="7" t="s">
        <v>498</v>
      </c>
      <c r="B8" s="7" t="s">
        <v>430</v>
      </c>
      <c r="C8" s="24">
        <v>46255</v>
      </c>
      <c r="D8" s="14">
        <v>80</v>
      </c>
      <c r="E8" s="14">
        <v>68</v>
      </c>
      <c r="F8" s="14">
        <v>12</v>
      </c>
      <c r="G8" s="40">
        <f t="shared" si="0"/>
        <v>0.15</v>
      </c>
      <c r="H8" s="64" t="s">
        <v>815</v>
      </c>
    </row>
    <row r="9" spans="1:10" ht="14.25" customHeight="1" x14ac:dyDescent="0.3">
      <c r="A9" s="7" t="s">
        <v>502</v>
      </c>
      <c r="B9" s="7" t="s">
        <v>434</v>
      </c>
      <c r="C9" s="24">
        <v>46257</v>
      </c>
      <c r="D9" s="14">
        <v>130</v>
      </c>
      <c r="E9" s="14">
        <v>105</v>
      </c>
      <c r="F9" s="14">
        <v>25</v>
      </c>
      <c r="G9" s="40">
        <f t="shared" si="0"/>
        <v>0.19230769230769232</v>
      </c>
      <c r="H9" s="64" t="s">
        <v>765</v>
      </c>
    </row>
    <row r="10" spans="1:10" ht="14.25" customHeight="1" x14ac:dyDescent="0.3">
      <c r="A10" s="7" t="s">
        <v>502</v>
      </c>
      <c r="B10" s="7" t="s">
        <v>434</v>
      </c>
      <c r="C10" s="24">
        <v>46259</v>
      </c>
      <c r="D10" s="14">
        <v>95</v>
      </c>
      <c r="E10" s="14">
        <v>74</v>
      </c>
      <c r="F10" s="14">
        <v>21</v>
      </c>
      <c r="G10" s="40">
        <f t="shared" si="0"/>
        <v>0.22105263157894736</v>
      </c>
      <c r="H10" s="64" t="s">
        <v>816</v>
      </c>
    </row>
    <row r="11" spans="1:10" ht="14.25" customHeight="1" x14ac:dyDescent="0.3">
      <c r="A11" s="7" t="s">
        <v>503</v>
      </c>
      <c r="B11" s="7" t="s">
        <v>437</v>
      </c>
      <c r="C11" s="24">
        <v>46260</v>
      </c>
      <c r="D11" s="14">
        <v>110</v>
      </c>
      <c r="E11" s="14">
        <v>88</v>
      </c>
      <c r="F11" s="14">
        <v>22</v>
      </c>
      <c r="G11" s="40">
        <f t="shared" si="0"/>
        <v>0.2</v>
      </c>
      <c r="H11" s="64" t="s">
        <v>817</v>
      </c>
    </row>
    <row r="12" spans="1:10" ht="14.25" customHeight="1" x14ac:dyDescent="0.3">
      <c r="A12" s="7" t="s">
        <v>507</v>
      </c>
      <c r="B12" s="7" t="s">
        <v>441</v>
      </c>
      <c r="C12" s="24">
        <v>46262</v>
      </c>
      <c r="D12" s="14">
        <v>140</v>
      </c>
      <c r="E12" s="14">
        <v>121</v>
      </c>
      <c r="F12" s="14">
        <v>19</v>
      </c>
      <c r="G12" s="40">
        <f t="shared" si="0"/>
        <v>0.1357142857142857</v>
      </c>
      <c r="H12" s="64" t="s">
        <v>818</v>
      </c>
    </row>
    <row r="13" spans="1:10" ht="14.25" customHeight="1" x14ac:dyDescent="0.3">
      <c r="A13" s="7" t="s">
        <v>510</v>
      </c>
      <c r="B13" s="7" t="s">
        <v>448</v>
      </c>
      <c r="C13" s="24">
        <v>46264</v>
      </c>
      <c r="D13" s="14">
        <v>85</v>
      </c>
      <c r="E13" s="14">
        <v>62</v>
      </c>
      <c r="F13" s="14">
        <v>23</v>
      </c>
      <c r="G13" s="40">
        <f t="shared" si="0"/>
        <v>0.27058823529411763</v>
      </c>
      <c r="H13" s="64" t="s">
        <v>819</v>
      </c>
    </row>
  </sheetData>
  <mergeCells count="1">
    <mergeCell ref="C2:F2"/>
  </mergeCells>
  <dataValidations count="2">
    <dataValidation type="list" allowBlank="1" errorTitle="Not in master" error="Value must be chosen from the master list." promptTitle="Master-driven list" prompt="Select from M_OrderNo" sqref="A7:A500" xr:uid="{00000000-0002-0000-1D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B7:B500" xr:uid="{00000000-0002-0000-1D00-000001000000}">
      <formula1>M_StyleNo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L13"/>
  <sheetViews>
    <sheetView showGridLines="0" zoomScaleNormal="100" workbookViewId="0">
      <pane ySplit="6" topLeftCell="A7" activePane="bottomLeft" state="frozen"/>
      <selection pane="bottomLeft" activeCell="G6" sqref="G6"/>
    </sheetView>
  </sheetViews>
  <sheetFormatPr defaultColWidth="8.5546875" defaultRowHeight="14.4" x14ac:dyDescent="0.3"/>
  <cols>
    <col min="1" max="4" width="32" customWidth="1"/>
    <col min="5" max="5" width="39" customWidth="1"/>
    <col min="6" max="6" width="26" customWidth="1"/>
    <col min="7" max="7" width="32" customWidth="1"/>
    <col min="8" max="8" width="24" customWidth="1"/>
    <col min="9" max="9" width="26" customWidth="1"/>
    <col min="10" max="10" width="14" customWidth="1"/>
  </cols>
  <sheetData>
    <row r="1" spans="1:12" ht="21" customHeight="1" x14ac:dyDescent="0.3">
      <c r="A1" s="4" t="s">
        <v>820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</row>
    <row r="2" spans="1:12" ht="21" customHeight="1" x14ac:dyDescent="0.3">
      <c r="A2" s="2"/>
      <c r="C2" s="118" t="s">
        <v>821</v>
      </c>
      <c r="D2" s="118"/>
      <c r="E2" s="118"/>
      <c r="F2" s="118"/>
      <c r="G2" s="118"/>
      <c r="H2" s="118"/>
      <c r="I2" s="118"/>
      <c r="J2" s="118"/>
      <c r="K2" s="118"/>
      <c r="L2" s="118"/>
    </row>
    <row r="3" spans="1:12" ht="12" customHeight="1" x14ac:dyDescent="0.3"/>
    <row r="4" spans="1:12" ht="30" customHeight="1" x14ac:dyDescent="0.3">
      <c r="A4" s="5" t="s">
        <v>519</v>
      </c>
      <c r="B4" s="5" t="s">
        <v>487</v>
      </c>
      <c r="C4" s="5" t="s">
        <v>422</v>
      </c>
      <c r="D4" s="5" t="s">
        <v>822</v>
      </c>
      <c r="E4" s="5" t="s">
        <v>823</v>
      </c>
      <c r="F4" s="5" t="s">
        <v>824</v>
      </c>
      <c r="G4" s="5" t="s">
        <v>825</v>
      </c>
      <c r="H4" s="5" t="s">
        <v>535</v>
      </c>
      <c r="I4" s="5" t="s">
        <v>356</v>
      </c>
    </row>
    <row r="5" spans="1:12" ht="14.25" customHeight="1" x14ac:dyDescent="0.3">
      <c r="A5" s="34" t="s">
        <v>277</v>
      </c>
      <c r="B5" s="12" t="s">
        <v>279</v>
      </c>
      <c r="C5" s="34" t="s">
        <v>277</v>
      </c>
      <c r="D5" s="11" t="s">
        <v>278</v>
      </c>
      <c r="E5" s="11" t="s">
        <v>278</v>
      </c>
      <c r="F5" s="11" t="s">
        <v>278</v>
      </c>
      <c r="G5" s="34" t="s">
        <v>537</v>
      </c>
      <c r="H5" s="12" t="s">
        <v>279</v>
      </c>
      <c r="I5" s="11" t="s">
        <v>357</v>
      </c>
    </row>
    <row r="6" spans="1:12" ht="42.75" customHeight="1" x14ac:dyDescent="0.3">
      <c r="G6" s="35" t="s">
        <v>826</v>
      </c>
    </row>
    <row r="7" spans="1:12" ht="14.25" customHeight="1" x14ac:dyDescent="0.3">
      <c r="A7" s="24">
        <v>46255</v>
      </c>
      <c r="B7" s="7" t="s">
        <v>498</v>
      </c>
      <c r="C7" s="7" t="s">
        <v>430</v>
      </c>
      <c r="D7" s="14">
        <v>90</v>
      </c>
      <c r="E7" s="14">
        <v>40</v>
      </c>
      <c r="F7" s="14">
        <v>32</v>
      </c>
      <c r="G7" s="40">
        <f>IFERROR(F7/INDEX(Order!$H$7:$H$500,MATCH(B7,Order!$A$7:$A$500,0)),0)</f>
        <v>6.4000000000000003E-3</v>
      </c>
      <c r="H7" s="7" t="s">
        <v>73</v>
      </c>
      <c r="I7" s="7" t="s">
        <v>827</v>
      </c>
    </row>
    <row r="8" spans="1:12" ht="14.25" customHeight="1" x14ac:dyDescent="0.3">
      <c r="A8" s="24">
        <v>46256</v>
      </c>
      <c r="B8" s="7" t="s">
        <v>498</v>
      </c>
      <c r="C8" s="7" t="s">
        <v>430</v>
      </c>
      <c r="D8" s="14">
        <v>70</v>
      </c>
      <c r="E8" s="14">
        <v>35</v>
      </c>
      <c r="F8" s="14">
        <v>24</v>
      </c>
      <c r="G8" s="40">
        <f>IFERROR(F8/INDEX(Order!$H$7:$H$500,MATCH(B8,Order!$A$7:$A$500,0)),0)</f>
        <v>4.7999999999999996E-3</v>
      </c>
      <c r="H8" s="7" t="s">
        <v>73</v>
      </c>
      <c r="I8" s="7"/>
    </row>
    <row r="9" spans="1:12" ht="14.25" customHeight="1" x14ac:dyDescent="0.3">
      <c r="A9" s="24">
        <v>46258</v>
      </c>
      <c r="B9" s="7" t="s">
        <v>502</v>
      </c>
      <c r="C9" s="7" t="s">
        <v>434</v>
      </c>
      <c r="D9" s="14">
        <v>140</v>
      </c>
      <c r="E9" s="14">
        <v>60</v>
      </c>
      <c r="F9" s="14">
        <v>55</v>
      </c>
      <c r="G9" s="40">
        <f>IFERROR(F9/INDEX(Order!$H$7:$H$500,MATCH(B9,Order!$A$7:$A$500,0)),0)</f>
        <v>7.8571428571428577E-3</v>
      </c>
      <c r="H9" s="7" t="s">
        <v>73</v>
      </c>
      <c r="I9" s="7" t="s">
        <v>828</v>
      </c>
    </row>
    <row r="10" spans="1:12" ht="14.25" customHeight="1" x14ac:dyDescent="0.3">
      <c r="A10" s="24">
        <v>46260</v>
      </c>
      <c r="B10" s="7" t="s">
        <v>502</v>
      </c>
      <c r="C10" s="7" t="s">
        <v>434</v>
      </c>
      <c r="D10" s="14">
        <v>95</v>
      </c>
      <c r="E10" s="14">
        <v>45</v>
      </c>
      <c r="F10" s="14">
        <v>34</v>
      </c>
      <c r="G10" s="40">
        <f>IFERROR(F10/INDEX(Order!$H$7:$H$500,MATCH(B10,Order!$A$7:$A$500,0)),0)</f>
        <v>4.8571428571428567E-3</v>
      </c>
      <c r="H10" s="7" t="s">
        <v>73</v>
      </c>
      <c r="I10" s="7"/>
    </row>
    <row r="11" spans="1:12" ht="14.25" customHeight="1" x14ac:dyDescent="0.3">
      <c r="A11" s="24">
        <v>46261</v>
      </c>
      <c r="B11" s="7" t="s">
        <v>503</v>
      </c>
      <c r="C11" s="7" t="s">
        <v>437</v>
      </c>
      <c r="D11" s="14">
        <v>110</v>
      </c>
      <c r="E11" s="14">
        <v>48</v>
      </c>
      <c r="F11" s="14">
        <v>42</v>
      </c>
      <c r="G11" s="40">
        <f>IFERROR(F11/INDEX(Order!$H$7:$H$500,MATCH(B11,Order!$A$7:$A$500,0)),0)</f>
        <v>1.0500000000000001E-2</v>
      </c>
      <c r="H11" s="7" t="s">
        <v>73</v>
      </c>
      <c r="I11" s="7" t="s">
        <v>829</v>
      </c>
    </row>
    <row r="12" spans="1:12" ht="14.25" customHeight="1" x14ac:dyDescent="0.3">
      <c r="A12" s="24">
        <v>46263</v>
      </c>
      <c r="B12" s="7" t="s">
        <v>507</v>
      </c>
      <c r="C12" s="7" t="s">
        <v>441</v>
      </c>
      <c r="D12" s="14">
        <v>160</v>
      </c>
      <c r="E12" s="14">
        <v>72</v>
      </c>
      <c r="F12" s="14">
        <v>60</v>
      </c>
      <c r="G12" s="40">
        <f>IFERROR(F12/INDEX(Order!$H$7:$H$500,MATCH(B12,Order!$A$7:$A$500,0)),0)</f>
        <v>6.0000000000000001E-3</v>
      </c>
      <c r="H12" s="7" t="s">
        <v>73</v>
      </c>
      <c r="I12" s="7" t="s">
        <v>830</v>
      </c>
    </row>
    <row r="13" spans="1:12" ht="14.25" customHeight="1" x14ac:dyDescent="0.3">
      <c r="A13" s="24">
        <v>46265</v>
      </c>
      <c r="B13" s="7" t="s">
        <v>510</v>
      </c>
      <c r="C13" s="7" t="s">
        <v>448</v>
      </c>
      <c r="D13" s="14">
        <v>85</v>
      </c>
      <c r="E13" s="14">
        <v>36</v>
      </c>
      <c r="F13" s="14">
        <v>31</v>
      </c>
      <c r="G13" s="40">
        <f>IFERROR(F13/INDEX(Order!$H$7:$H$500,MATCH(B13,Order!$A$7:$A$500,0)),0)</f>
        <v>5.1666666666666666E-3</v>
      </c>
      <c r="H13" s="7" t="s">
        <v>73</v>
      </c>
      <c r="I13" s="7" t="s">
        <v>831</v>
      </c>
    </row>
  </sheetData>
  <mergeCells count="2">
    <mergeCell ref="C1:L1"/>
    <mergeCell ref="C2:L2"/>
  </mergeCells>
  <dataValidations count="3">
    <dataValidation type="list" allowBlank="1" errorTitle="Not in master" error="Value must be chosen from the master list." promptTitle="Master-driven list" prompt="Select from M_OrderNo" sqref="B7:B500" xr:uid="{00000000-0002-0000-1E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C7:C500" xr:uid="{00000000-0002-0000-1E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AuthorisedBy" sqref="H7:H500" xr:uid="{00000000-0002-0000-1E00-000002000000}">
      <formula1>L_AuthorisedBy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J13"/>
  <sheetViews>
    <sheetView zoomScaleNormal="100" workbookViewId="0">
      <pane ySplit="6" topLeftCell="A7" activePane="bottomLeft" state="frozen"/>
      <selection pane="bottomLeft" activeCell="F20" sqref="F20"/>
    </sheetView>
  </sheetViews>
  <sheetFormatPr defaultColWidth="8.5546875" defaultRowHeight="14.4" x14ac:dyDescent="0.3"/>
  <cols>
    <col min="1" max="1" width="12" customWidth="1"/>
    <col min="2" max="2" width="14" customWidth="1"/>
    <col min="3" max="3" width="11" customWidth="1"/>
    <col min="4" max="4" width="12" customWidth="1"/>
    <col min="5" max="5" width="15.88671875" bestFit="1" customWidth="1"/>
    <col min="6" max="6" width="12" customWidth="1"/>
    <col min="7" max="8" width="16" customWidth="1"/>
    <col min="9" max="9" width="30" customWidth="1"/>
    <col min="10" max="10" width="23.109375" bestFit="1" customWidth="1"/>
  </cols>
  <sheetData>
    <row r="1" spans="1:10" ht="21" customHeight="1" x14ac:dyDescent="0.3">
      <c r="A1" s="22" t="s">
        <v>747</v>
      </c>
      <c r="B1" s="22"/>
      <c r="C1" s="116" t="s">
        <v>1</v>
      </c>
      <c r="D1" s="116"/>
      <c r="E1" s="116"/>
      <c r="F1" s="116"/>
      <c r="G1" s="116"/>
      <c r="I1" s="28"/>
    </row>
    <row r="2" spans="1:10" ht="21" customHeight="1" x14ac:dyDescent="0.3">
      <c r="C2" s="118" t="s">
        <v>832</v>
      </c>
      <c r="D2" s="118"/>
      <c r="E2" s="118"/>
      <c r="F2" s="118"/>
      <c r="G2" s="118"/>
    </row>
    <row r="3" spans="1:10" ht="18" customHeight="1" x14ac:dyDescent="0.35">
      <c r="G3" s="31"/>
      <c r="H3" s="31"/>
      <c r="I3" s="15"/>
    </row>
    <row r="4" spans="1:10" ht="15" customHeight="1" x14ac:dyDescent="0.3">
      <c r="A4" s="110" t="s">
        <v>519</v>
      </c>
      <c r="B4" s="107" t="s">
        <v>833</v>
      </c>
      <c r="C4" s="6" t="s">
        <v>422</v>
      </c>
      <c r="D4" s="6" t="s">
        <v>493</v>
      </c>
      <c r="E4" s="6" t="s">
        <v>834</v>
      </c>
      <c r="F4" s="6" t="s">
        <v>835</v>
      </c>
      <c r="G4" s="6" t="s">
        <v>836</v>
      </c>
      <c r="H4" s="6" t="s">
        <v>837</v>
      </c>
      <c r="I4" s="6" t="s">
        <v>838</v>
      </c>
      <c r="J4" s="6" t="s">
        <v>356</v>
      </c>
    </row>
    <row r="5" spans="1:10" ht="14.25" customHeight="1" x14ac:dyDescent="0.3">
      <c r="A5" s="91" t="s">
        <v>277</v>
      </c>
      <c r="B5" s="108" t="s">
        <v>279</v>
      </c>
      <c r="C5" s="66" t="s">
        <v>278</v>
      </c>
      <c r="D5" s="67" t="s">
        <v>277</v>
      </c>
      <c r="E5" s="66" t="s">
        <v>278</v>
      </c>
      <c r="F5" s="66" t="s">
        <v>278</v>
      </c>
      <c r="G5" s="67" t="s">
        <v>537</v>
      </c>
      <c r="H5" s="65" t="s">
        <v>279</v>
      </c>
      <c r="I5" s="65" t="s">
        <v>279</v>
      </c>
      <c r="J5" s="66" t="s">
        <v>357</v>
      </c>
    </row>
    <row r="6" spans="1:10" ht="43.5" customHeight="1" x14ac:dyDescent="0.3">
      <c r="A6" s="8"/>
      <c r="C6" s="68"/>
      <c r="D6" s="69" t="s">
        <v>839</v>
      </c>
      <c r="E6" s="69" t="s">
        <v>840</v>
      </c>
      <c r="F6" s="22" t="s">
        <v>497</v>
      </c>
      <c r="G6" s="3" t="s">
        <v>841</v>
      </c>
      <c r="H6" s="69" t="s">
        <v>680</v>
      </c>
      <c r="I6" s="3" t="s">
        <v>842</v>
      </c>
    </row>
    <row r="7" spans="1:10" ht="14.25" customHeight="1" x14ac:dyDescent="0.3">
      <c r="A7" s="8"/>
      <c r="B7" s="109" t="s">
        <v>498</v>
      </c>
      <c r="C7" s="7" t="s">
        <v>430</v>
      </c>
      <c r="D7" s="25">
        <v>5000</v>
      </c>
      <c r="E7" s="25">
        <v>4900</v>
      </c>
      <c r="F7" s="25">
        <v>4780</v>
      </c>
      <c r="G7" s="25">
        <f t="shared" ref="G7:G13" si="0">IF(E7=0,0,E7-F7)</f>
        <v>120</v>
      </c>
      <c r="H7" s="7" t="s">
        <v>468</v>
      </c>
      <c r="I7" s="7" t="s">
        <v>119</v>
      </c>
      <c r="J7" s="7" t="s">
        <v>843</v>
      </c>
    </row>
    <row r="8" spans="1:10" ht="14.25" customHeight="1" x14ac:dyDescent="0.3">
      <c r="A8" s="8"/>
      <c r="B8" s="109" t="s">
        <v>502</v>
      </c>
      <c r="C8" s="7" t="s">
        <v>434</v>
      </c>
      <c r="D8" s="25">
        <v>7000</v>
      </c>
      <c r="E8" s="25">
        <v>6800</v>
      </c>
      <c r="F8" s="25">
        <v>6620</v>
      </c>
      <c r="G8" s="25">
        <f t="shared" si="0"/>
        <v>180</v>
      </c>
      <c r="H8" s="7" t="s">
        <v>471</v>
      </c>
      <c r="I8" s="7" t="s">
        <v>50</v>
      </c>
      <c r="J8" s="7" t="s">
        <v>844</v>
      </c>
    </row>
    <row r="9" spans="1:10" ht="14.25" customHeight="1" x14ac:dyDescent="0.3">
      <c r="A9" s="8"/>
      <c r="B9" s="109" t="s">
        <v>503</v>
      </c>
      <c r="C9" s="7" t="s">
        <v>437</v>
      </c>
      <c r="D9" s="25">
        <v>4000</v>
      </c>
      <c r="E9" s="25">
        <v>1800</v>
      </c>
      <c r="F9" s="25">
        <v>1660</v>
      </c>
      <c r="G9" s="25">
        <f t="shared" si="0"/>
        <v>140</v>
      </c>
      <c r="H9" s="7" t="s">
        <v>468</v>
      </c>
      <c r="I9" s="7" t="s">
        <v>193</v>
      </c>
      <c r="J9" s="7" t="s">
        <v>845</v>
      </c>
    </row>
    <row r="10" spans="1:10" ht="14.25" customHeight="1" x14ac:dyDescent="0.3">
      <c r="A10" s="8"/>
      <c r="B10" s="109" t="s">
        <v>507</v>
      </c>
      <c r="C10" s="7" t="s">
        <v>441</v>
      </c>
      <c r="D10" s="25">
        <v>10000</v>
      </c>
      <c r="E10" s="25">
        <v>4600</v>
      </c>
      <c r="F10" s="25">
        <v>4480</v>
      </c>
      <c r="G10" s="25">
        <f t="shared" si="0"/>
        <v>120</v>
      </c>
      <c r="H10" s="7" t="s">
        <v>471</v>
      </c>
      <c r="I10" s="7" t="s">
        <v>171</v>
      </c>
      <c r="J10" s="7" t="s">
        <v>846</v>
      </c>
    </row>
    <row r="11" spans="1:10" ht="14.25" customHeight="1" x14ac:dyDescent="0.3">
      <c r="A11" s="8"/>
      <c r="B11" s="109" t="s">
        <v>510</v>
      </c>
      <c r="C11" s="7" t="s">
        <v>448</v>
      </c>
      <c r="D11" s="25">
        <v>6000</v>
      </c>
      <c r="E11" s="25">
        <v>2800</v>
      </c>
      <c r="F11" s="25">
        <v>2720</v>
      </c>
      <c r="G11" s="25">
        <f t="shared" si="0"/>
        <v>80</v>
      </c>
      <c r="H11" s="7" t="s">
        <v>468</v>
      </c>
      <c r="I11" s="7" t="s">
        <v>102</v>
      </c>
      <c r="J11" s="7" t="s">
        <v>847</v>
      </c>
    </row>
    <row r="12" spans="1:10" ht="14.25" customHeight="1" x14ac:dyDescent="0.3">
      <c r="A12" s="8"/>
      <c r="B12" s="109" t="s">
        <v>513</v>
      </c>
      <c r="C12" s="7" t="s">
        <v>452</v>
      </c>
      <c r="D12" s="25">
        <v>3500</v>
      </c>
      <c r="E12" s="25">
        <v>0</v>
      </c>
      <c r="F12" s="25">
        <v>0</v>
      </c>
      <c r="G12" s="25">
        <f t="shared" si="0"/>
        <v>0</v>
      </c>
      <c r="H12" s="7" t="s">
        <v>471</v>
      </c>
      <c r="I12" s="7" t="s">
        <v>50</v>
      </c>
      <c r="J12" s="7" t="s">
        <v>848</v>
      </c>
    </row>
    <row r="13" spans="1:10" ht="14.25" customHeight="1" x14ac:dyDescent="0.3">
      <c r="A13" s="8"/>
      <c r="B13" s="109" t="s">
        <v>516</v>
      </c>
      <c r="C13" s="7" t="s">
        <v>445</v>
      </c>
      <c r="D13" s="25">
        <v>8000</v>
      </c>
      <c r="E13" s="25">
        <v>0</v>
      </c>
      <c r="F13" s="25">
        <v>0</v>
      </c>
      <c r="G13" s="25">
        <f t="shared" si="0"/>
        <v>0</v>
      </c>
      <c r="H13" s="7" t="s">
        <v>468</v>
      </c>
      <c r="I13" s="7" t="s">
        <v>119</v>
      </c>
      <c r="J13" s="7" t="s">
        <v>848</v>
      </c>
    </row>
  </sheetData>
  <mergeCells count="2">
    <mergeCell ref="C1:G1"/>
    <mergeCell ref="C2:G2"/>
  </mergeCells>
  <dataValidations count="6">
    <dataValidation type="list" allowBlank="1" errorTitle="Not in master" error="Value must be chosen from the master list." promptTitle="Master-driven list" prompt="Select from M_OrderNo" sqref="A14:A500 B7:B13" xr:uid="{00000000-0002-0000-1F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EmpName" sqref="E14:E500 F7:F13" xr:uid="{00000000-0002-0000-1F00-000001000000}">
      <formula1>M_EmpName</formula1>
      <formula2>0</formula2>
    </dataValidation>
    <dataValidation type="list" allowBlank="1" errorTitle="Not in master" error="Value must be chosen from the master list." promptTitle="Master-driven list" prompt="Select from L_RejectReason" sqref="F14:F500 G7:G13" xr:uid="{00000000-0002-0000-1F00-000002000000}">
      <formula1>L_RejectReason</formula1>
      <formula2>0</formula2>
    </dataValidation>
    <dataValidation type="list" allowBlank="1" sqref="G14:G500 H7:H13" xr:uid="{00000000-0002-0000-1F00-000003000000}">
      <formula1>M_EmpName</formula1>
      <formula2>0</formula2>
    </dataValidation>
    <dataValidation type="list" allowBlank="1" sqref="H14:H500 I7:I13" xr:uid="{00000000-0002-0000-1F00-000004000000}">
      <formula1>L_RejectReason</formula1>
      <formula2>0</formula2>
    </dataValidation>
    <dataValidation type="list" allowBlank="1" sqref="B14:B500 C7:C13" xr:uid="{00000000-0002-0000-1F00-000005000000}">
      <formula1>M_StyleNo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S25"/>
  <sheetViews>
    <sheetView topLeftCell="B1" zoomScaleNormal="100" workbookViewId="0">
      <pane ySplit="7" topLeftCell="A8" activePane="bottomLeft" state="frozen"/>
      <selection pane="bottomLeft" activeCell="D20" sqref="D20"/>
    </sheetView>
  </sheetViews>
  <sheetFormatPr defaultColWidth="8.5546875" defaultRowHeight="14.4" x14ac:dyDescent="0.3"/>
  <cols>
    <col min="2" max="2" width="22" customWidth="1"/>
    <col min="3" max="3" width="11" customWidth="1"/>
    <col min="4" max="5" width="14" customWidth="1"/>
    <col min="6" max="6" width="24" customWidth="1"/>
    <col min="7" max="7" width="12" customWidth="1"/>
    <col min="8" max="8" width="9" customWidth="1"/>
    <col min="9" max="9" width="8" customWidth="1"/>
    <col min="10" max="14" width="11" customWidth="1"/>
    <col min="15" max="17" width="6" customWidth="1"/>
    <col min="18" max="18" width="8" customWidth="1"/>
    <col min="19" max="19" width="16" customWidth="1"/>
  </cols>
  <sheetData>
    <row r="1" spans="1:19" ht="19.5" customHeight="1" x14ac:dyDescent="0.3">
      <c r="B1" s="70" t="s">
        <v>849</v>
      </c>
      <c r="G1" s="132" t="s">
        <v>1</v>
      </c>
      <c r="H1" s="132"/>
      <c r="I1" s="132"/>
      <c r="J1" s="132"/>
      <c r="K1" s="132"/>
      <c r="L1" s="132"/>
      <c r="M1" s="132"/>
      <c r="N1" s="132"/>
    </row>
    <row r="2" spans="1:19" ht="15" customHeight="1" x14ac:dyDescent="0.3">
      <c r="G2" s="133" t="s">
        <v>850</v>
      </c>
      <c r="H2" s="133"/>
      <c r="I2" s="133"/>
      <c r="J2" s="133"/>
      <c r="K2" s="133"/>
      <c r="L2" s="133"/>
      <c r="M2" s="133"/>
      <c r="N2" s="133"/>
    </row>
    <row r="3" spans="1:19" ht="15" customHeight="1" x14ac:dyDescent="0.3">
      <c r="A3" s="103"/>
      <c r="B3" s="139" t="s">
        <v>851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</row>
    <row r="4" spans="1:19" ht="15" customHeight="1" x14ac:dyDescent="0.3">
      <c r="A4" s="138" t="s">
        <v>519</v>
      </c>
      <c r="B4" s="140" t="s">
        <v>852</v>
      </c>
      <c r="C4" s="141" t="s">
        <v>954</v>
      </c>
      <c r="D4" s="134" t="s">
        <v>691</v>
      </c>
      <c r="E4" s="136" t="s">
        <v>955</v>
      </c>
      <c r="F4" s="134" t="s">
        <v>770</v>
      </c>
      <c r="G4" s="134" t="s">
        <v>853</v>
      </c>
      <c r="H4" s="134" t="s">
        <v>216</v>
      </c>
      <c r="I4" s="134" t="s">
        <v>854</v>
      </c>
      <c r="J4" s="134" t="s">
        <v>855</v>
      </c>
      <c r="K4" s="134" t="s">
        <v>856</v>
      </c>
      <c r="L4" s="134" t="s">
        <v>857</v>
      </c>
      <c r="M4" s="134" t="s">
        <v>858</v>
      </c>
      <c r="N4" s="134" t="s">
        <v>859</v>
      </c>
      <c r="O4" s="134" t="s">
        <v>860</v>
      </c>
      <c r="P4" s="134"/>
      <c r="Q4" s="134"/>
      <c r="R4" s="134" t="s">
        <v>861</v>
      </c>
      <c r="S4" s="134" t="s">
        <v>356</v>
      </c>
    </row>
    <row r="5" spans="1:19" ht="15" customHeight="1" x14ac:dyDescent="0.3">
      <c r="A5" s="138"/>
      <c r="B5" s="140"/>
      <c r="C5" s="134"/>
      <c r="D5" s="134"/>
      <c r="E5" s="137"/>
      <c r="F5" s="134"/>
      <c r="G5" s="134"/>
      <c r="H5" s="134"/>
      <c r="I5" s="134"/>
      <c r="J5" s="134"/>
      <c r="K5" s="134"/>
      <c r="L5" s="134"/>
      <c r="M5" s="134"/>
      <c r="N5" s="134"/>
      <c r="O5" s="71" t="s">
        <v>862</v>
      </c>
      <c r="P5" s="71" t="s">
        <v>863</v>
      </c>
      <c r="Q5" s="71" t="s">
        <v>864</v>
      </c>
      <c r="R5" s="134"/>
      <c r="S5" s="134"/>
    </row>
    <row r="6" spans="1:19" ht="15" customHeight="1" x14ac:dyDescent="0.3">
      <c r="A6" s="105" t="s">
        <v>277</v>
      </c>
      <c r="B6" s="72" t="s">
        <v>278</v>
      </c>
      <c r="C6" s="73" t="s">
        <v>279</v>
      </c>
      <c r="D6" s="73" t="s">
        <v>279</v>
      </c>
      <c r="E6" s="106" t="s">
        <v>277</v>
      </c>
      <c r="F6" s="74" t="s">
        <v>277</v>
      </c>
      <c r="G6" s="73" t="s">
        <v>279</v>
      </c>
      <c r="H6" s="72" t="s">
        <v>278</v>
      </c>
      <c r="I6" s="72" t="s">
        <v>278</v>
      </c>
      <c r="J6" s="74" t="s">
        <v>537</v>
      </c>
      <c r="K6" s="72" t="s">
        <v>278</v>
      </c>
      <c r="L6" s="72" t="s">
        <v>278</v>
      </c>
      <c r="M6" s="74" t="s">
        <v>537</v>
      </c>
      <c r="N6" s="74" t="s">
        <v>537</v>
      </c>
      <c r="O6" s="72" t="s">
        <v>278</v>
      </c>
      <c r="P6" s="72" t="s">
        <v>278</v>
      </c>
      <c r="Q6" s="72" t="s">
        <v>278</v>
      </c>
      <c r="R6" s="74" t="s">
        <v>537</v>
      </c>
      <c r="S6" s="72" t="s">
        <v>357</v>
      </c>
    </row>
    <row r="7" spans="1:19" ht="15" customHeight="1" x14ac:dyDescent="0.3">
      <c r="A7" s="8"/>
      <c r="F7" s="70" t="s">
        <v>865</v>
      </c>
      <c r="J7" s="70" t="s">
        <v>866</v>
      </c>
      <c r="M7" s="70" t="s">
        <v>867</v>
      </c>
      <c r="N7" s="70" t="s">
        <v>868</v>
      </c>
      <c r="R7" s="70" t="s">
        <v>869</v>
      </c>
    </row>
    <row r="8" spans="1:19" ht="15" customHeight="1" x14ac:dyDescent="0.3">
      <c r="A8" s="8"/>
      <c r="B8" s="104" t="s">
        <v>870</v>
      </c>
      <c r="C8" s="76" t="s">
        <v>871</v>
      </c>
      <c r="D8" s="75" t="s">
        <v>872</v>
      </c>
      <c r="E8" s="75"/>
      <c r="F8" s="75" t="s">
        <v>873</v>
      </c>
      <c r="G8" s="76" t="s">
        <v>874</v>
      </c>
      <c r="H8" s="76">
        <v>100</v>
      </c>
      <c r="I8" s="77">
        <v>100</v>
      </c>
      <c r="J8" s="77">
        <f>H8*I8</f>
        <v>10000</v>
      </c>
      <c r="K8" s="78">
        <v>18.8</v>
      </c>
      <c r="L8" s="78">
        <v>20.25</v>
      </c>
      <c r="M8" s="79">
        <f>K8*I8</f>
        <v>1880</v>
      </c>
      <c r="N8" s="79">
        <f>L8*I8</f>
        <v>2025</v>
      </c>
      <c r="O8" s="76">
        <v>64</v>
      </c>
      <c r="P8" s="76">
        <v>39</v>
      </c>
      <c r="Q8" s="76">
        <v>29</v>
      </c>
      <c r="R8" s="78">
        <f>ROUND(O8*P8*Q8/1000000*I8,2)</f>
        <v>7.24</v>
      </c>
      <c r="S8" s="76"/>
    </row>
    <row r="9" spans="1:19" ht="15" customHeight="1" x14ac:dyDescent="0.3">
      <c r="A9" s="8"/>
      <c r="B9" s="104" t="s">
        <v>875</v>
      </c>
      <c r="C9" s="76" t="s">
        <v>876</v>
      </c>
      <c r="D9" s="75" t="s">
        <v>430</v>
      </c>
      <c r="E9" s="75"/>
      <c r="F9" s="75" t="s">
        <v>877</v>
      </c>
      <c r="G9" s="76" t="s">
        <v>874</v>
      </c>
      <c r="H9" s="76">
        <v>100</v>
      </c>
      <c r="I9" s="77">
        <v>700</v>
      </c>
      <c r="J9" s="77">
        <f>H9*I9</f>
        <v>70000</v>
      </c>
      <c r="K9" s="78">
        <v>13</v>
      </c>
      <c r="L9" s="78">
        <v>14.2</v>
      </c>
      <c r="M9" s="79">
        <f>K9*I9</f>
        <v>9100</v>
      </c>
      <c r="N9" s="79">
        <f>L9*I9</f>
        <v>9940</v>
      </c>
      <c r="O9" s="76">
        <v>58</v>
      </c>
      <c r="P9" s="76">
        <v>37</v>
      </c>
      <c r="Q9" s="76">
        <v>30</v>
      </c>
      <c r="R9" s="78">
        <f>ROUND(O9*P9*Q9/1000000*I9,2)</f>
        <v>45.07</v>
      </c>
      <c r="S9" s="76"/>
    </row>
    <row r="10" spans="1:19" ht="15" customHeight="1" x14ac:dyDescent="0.3">
      <c r="A10" s="8"/>
      <c r="B10" s="104" t="s">
        <v>878</v>
      </c>
      <c r="C10" s="76" t="s">
        <v>879</v>
      </c>
      <c r="D10" s="75" t="s">
        <v>880</v>
      </c>
      <c r="E10" s="75"/>
      <c r="F10" s="75" t="s">
        <v>881</v>
      </c>
      <c r="G10" s="76" t="s">
        <v>874</v>
      </c>
      <c r="H10" s="76">
        <v>50</v>
      </c>
      <c r="I10" s="77">
        <v>40</v>
      </c>
      <c r="J10" s="77">
        <f>H10*I10</f>
        <v>2000</v>
      </c>
      <c r="K10" s="78">
        <v>13</v>
      </c>
      <c r="L10" s="78">
        <v>14.2</v>
      </c>
      <c r="M10" s="79">
        <f>K10*I10</f>
        <v>520</v>
      </c>
      <c r="N10" s="79">
        <f>L10*I10</f>
        <v>568</v>
      </c>
      <c r="O10" s="76">
        <v>60</v>
      </c>
      <c r="P10" s="76">
        <v>51</v>
      </c>
      <c r="Q10" s="76">
        <v>22</v>
      </c>
      <c r="R10" s="78">
        <f>ROUND(O10*P10*Q10/1000000*I10,2)</f>
        <v>2.69</v>
      </c>
      <c r="S10" s="76"/>
    </row>
    <row r="11" spans="1:19" ht="15" customHeight="1" x14ac:dyDescent="0.3">
      <c r="A11" s="8"/>
      <c r="B11" s="104" t="s">
        <v>882</v>
      </c>
      <c r="C11" s="76" t="s">
        <v>883</v>
      </c>
      <c r="D11" s="75" t="s">
        <v>884</v>
      </c>
      <c r="E11" s="75"/>
      <c r="F11" s="75" t="s">
        <v>885</v>
      </c>
      <c r="G11" s="76" t="s">
        <v>886</v>
      </c>
      <c r="H11" s="76">
        <v>100</v>
      </c>
      <c r="I11" s="77">
        <v>51</v>
      </c>
      <c r="J11" s="77">
        <f>H11*I11</f>
        <v>5100</v>
      </c>
      <c r="K11" s="78">
        <v>7</v>
      </c>
      <c r="L11" s="78">
        <v>8</v>
      </c>
      <c r="M11" s="79">
        <f>K11*I11</f>
        <v>357</v>
      </c>
      <c r="N11" s="79">
        <f>L11*I11</f>
        <v>408</v>
      </c>
      <c r="O11" s="76">
        <v>45</v>
      </c>
      <c r="P11" s="76">
        <v>46</v>
      </c>
      <c r="Q11" s="76">
        <v>22</v>
      </c>
      <c r="R11" s="78">
        <f>ROUND(O11*P11*Q11/1000000*I11,2)</f>
        <v>2.3199999999999998</v>
      </c>
      <c r="S11" s="76"/>
    </row>
    <row r="12" spans="1:19" ht="15" customHeight="1" x14ac:dyDescent="0.3">
      <c r="A12" s="8"/>
      <c r="B12" s="104"/>
      <c r="C12" s="76"/>
      <c r="D12" s="75"/>
      <c r="E12" s="75"/>
      <c r="F12" s="75"/>
      <c r="G12" s="76"/>
      <c r="H12" s="76"/>
      <c r="I12" s="77"/>
      <c r="J12" s="77"/>
      <c r="K12" s="78"/>
      <c r="L12" s="78"/>
      <c r="M12" s="79"/>
      <c r="N12" s="79"/>
      <c r="O12" s="76"/>
      <c r="P12" s="76"/>
      <c r="Q12" s="76"/>
      <c r="R12" s="78"/>
      <c r="S12" s="76"/>
    </row>
    <row r="13" spans="1:19" ht="15" customHeight="1" x14ac:dyDescent="0.3">
      <c r="A13" s="8"/>
      <c r="B13" s="104"/>
      <c r="C13" s="76"/>
      <c r="D13" s="75"/>
      <c r="E13" s="75"/>
      <c r="F13" s="75"/>
      <c r="G13" s="76"/>
      <c r="H13" s="76"/>
      <c r="I13" s="77"/>
      <c r="J13" s="77"/>
      <c r="K13" s="78"/>
      <c r="L13" s="78"/>
      <c r="M13" s="79"/>
      <c r="N13" s="79"/>
      <c r="O13" s="76"/>
      <c r="P13" s="76"/>
      <c r="Q13" s="76"/>
      <c r="R13" s="78"/>
      <c r="S13" s="76"/>
    </row>
    <row r="14" spans="1:19" ht="15" customHeight="1" x14ac:dyDescent="0.3">
      <c r="A14" s="8"/>
      <c r="B14" s="104"/>
      <c r="C14" s="76"/>
      <c r="D14" s="75"/>
      <c r="E14" s="75"/>
      <c r="F14" s="75"/>
      <c r="G14" s="76"/>
      <c r="H14" s="76"/>
      <c r="I14" s="77"/>
      <c r="J14" s="77"/>
      <c r="K14" s="78"/>
      <c r="L14" s="78"/>
      <c r="M14" s="79"/>
      <c r="N14" s="79"/>
      <c r="O14" s="76"/>
      <c r="P14" s="76"/>
      <c r="Q14" s="76"/>
      <c r="R14" s="78"/>
      <c r="S14" s="76"/>
    </row>
    <row r="15" spans="1:19" ht="15" customHeight="1" x14ac:dyDescent="0.3">
      <c r="A15" s="8"/>
      <c r="B15" s="104"/>
      <c r="C15" s="76"/>
      <c r="D15" s="75"/>
      <c r="E15" s="75"/>
      <c r="F15" s="75"/>
      <c r="G15" s="76"/>
      <c r="H15" s="76"/>
      <c r="I15" s="77"/>
      <c r="J15" s="77"/>
      <c r="K15" s="78"/>
      <c r="L15" s="78"/>
      <c r="M15" s="79"/>
      <c r="N15" s="79"/>
      <c r="O15" s="76"/>
      <c r="P15" s="76"/>
      <c r="Q15" s="76"/>
      <c r="R15" s="78"/>
      <c r="S15" s="76"/>
    </row>
    <row r="16" spans="1:19" ht="15" customHeight="1" x14ac:dyDescent="0.3">
      <c r="A16" s="8"/>
      <c r="B16" s="104"/>
      <c r="C16" s="76"/>
      <c r="D16" s="75"/>
      <c r="E16" s="75"/>
      <c r="F16" s="75"/>
      <c r="G16" s="76"/>
      <c r="H16" s="76"/>
      <c r="I16" s="77"/>
      <c r="J16" s="77"/>
      <c r="K16" s="78"/>
      <c r="L16" s="78"/>
      <c r="M16" s="79"/>
      <c r="N16" s="79"/>
      <c r="O16" s="76"/>
      <c r="P16" s="76"/>
      <c r="Q16" s="76"/>
      <c r="R16" s="78"/>
      <c r="S16" s="76"/>
    </row>
    <row r="17" spans="1:19" ht="15" customHeight="1" x14ac:dyDescent="0.3">
      <c r="A17" s="8"/>
      <c r="B17" s="104"/>
      <c r="C17" s="76"/>
      <c r="D17" s="75"/>
      <c r="E17" s="75"/>
      <c r="F17" s="75"/>
      <c r="G17" s="76"/>
      <c r="H17" s="76"/>
      <c r="I17" s="77"/>
      <c r="J17" s="77"/>
      <c r="K17" s="78"/>
      <c r="L17" s="78"/>
      <c r="M17" s="79"/>
      <c r="N17" s="79"/>
      <c r="O17" s="76"/>
      <c r="P17" s="76"/>
      <c r="Q17" s="76"/>
      <c r="R17" s="78"/>
      <c r="S17" s="76"/>
    </row>
    <row r="18" spans="1:19" ht="15" customHeight="1" x14ac:dyDescent="0.3">
      <c r="A18" s="8"/>
      <c r="B18" s="104"/>
      <c r="C18" s="76"/>
      <c r="D18" s="75"/>
      <c r="E18" s="75"/>
      <c r="F18" s="75"/>
      <c r="G18" s="76"/>
      <c r="H18" s="76"/>
      <c r="I18" s="77"/>
      <c r="J18" s="77"/>
      <c r="K18" s="78"/>
      <c r="L18" s="78"/>
      <c r="M18" s="79"/>
      <c r="N18" s="79"/>
      <c r="O18" s="76"/>
      <c r="P18" s="76"/>
      <c r="Q18" s="76"/>
      <c r="R18" s="78"/>
      <c r="S18" s="76"/>
    </row>
    <row r="19" spans="1:19" ht="15" customHeight="1" x14ac:dyDescent="0.3">
      <c r="A19" s="8"/>
      <c r="B19" s="104"/>
      <c r="C19" s="76"/>
      <c r="D19" s="75"/>
      <c r="E19" s="75"/>
      <c r="F19" s="75"/>
      <c r="G19" s="76"/>
      <c r="H19" s="76"/>
      <c r="I19" s="77"/>
      <c r="J19" s="77"/>
      <c r="K19" s="78"/>
      <c r="L19" s="78"/>
      <c r="M19" s="79"/>
      <c r="N19" s="79"/>
      <c r="O19" s="76"/>
      <c r="P19" s="76"/>
      <c r="Q19" s="76"/>
      <c r="R19" s="78"/>
      <c r="S19" s="76"/>
    </row>
    <row r="21" spans="1:19" ht="15" customHeight="1" x14ac:dyDescent="0.3"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</row>
    <row r="23" spans="1:19" ht="15" customHeight="1" x14ac:dyDescent="0.3">
      <c r="P23" s="80"/>
    </row>
    <row r="25" spans="1:19" ht="15" customHeight="1" x14ac:dyDescent="0.3">
      <c r="P25" s="80"/>
    </row>
  </sheetData>
  <mergeCells count="21">
    <mergeCell ref="G1:N1"/>
    <mergeCell ref="G2:N2"/>
    <mergeCell ref="B3:S3"/>
    <mergeCell ref="B4:B5"/>
    <mergeCell ref="C4:C5"/>
    <mergeCell ref="D4:D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Q4"/>
    <mergeCell ref="R4:R5"/>
    <mergeCell ref="S4:S5"/>
    <mergeCell ref="B21:N21"/>
    <mergeCell ref="E4:E5"/>
    <mergeCell ref="A4:A5"/>
  </mergeCells>
  <dataValidations count="2">
    <dataValidation type="list" allowBlank="1" sqref="D8:E19" xr:uid="{00000000-0002-0000-2000-000001000000}">
      <formula1>M_StyleNo</formula1>
      <formula2>0</formula2>
    </dataValidation>
    <dataValidation type="list" allowBlank="1" sqref="G8:G19" xr:uid="{00000000-0002-0000-2000-000002000000}">
      <formula1>L_ColorCode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P46"/>
  <sheetViews>
    <sheetView zoomScaleNormal="100" workbookViewId="0">
      <pane ySplit="5" topLeftCell="A6" activePane="bottomLeft" state="frozen"/>
      <selection pane="bottomLeft" activeCell="A15" sqref="A15:XFD21"/>
    </sheetView>
  </sheetViews>
  <sheetFormatPr defaultColWidth="8.5546875" defaultRowHeight="14.4" x14ac:dyDescent="0.3"/>
  <cols>
    <col min="1" max="1" width="9" customWidth="1"/>
    <col min="2" max="2" width="11" customWidth="1"/>
    <col min="3" max="3" width="13" customWidth="1"/>
    <col min="4" max="9" width="6" customWidth="1"/>
    <col min="10" max="13" width="6.88671875" bestFit="1" customWidth="1"/>
    <col min="14" max="14" width="11" customWidth="1"/>
    <col min="15" max="16" width="12" customWidth="1"/>
  </cols>
  <sheetData>
    <row r="1" spans="1:16" ht="19.5" customHeight="1" x14ac:dyDescent="0.3">
      <c r="A1" s="3" t="s">
        <v>849</v>
      </c>
      <c r="E1" s="132" t="s">
        <v>1</v>
      </c>
      <c r="F1" s="132"/>
      <c r="G1" s="132"/>
      <c r="H1" s="132"/>
      <c r="I1" s="132"/>
      <c r="J1" s="132"/>
    </row>
    <row r="2" spans="1:16" ht="15" customHeight="1" x14ac:dyDescent="0.3">
      <c r="D2" s="142" t="s">
        <v>887</v>
      </c>
      <c r="E2" s="142"/>
      <c r="F2" s="142"/>
      <c r="G2" s="142"/>
      <c r="H2" s="142"/>
      <c r="I2" s="142"/>
      <c r="J2" s="142"/>
      <c r="K2" s="142"/>
      <c r="L2" s="142"/>
      <c r="M2" s="142"/>
    </row>
    <row r="3" spans="1:16" ht="27.75" customHeight="1" x14ac:dyDescent="0.3">
      <c r="A3" s="57" t="s">
        <v>888</v>
      </c>
      <c r="B3" s="57" t="s">
        <v>889</v>
      </c>
      <c r="C3" s="57" t="s">
        <v>853</v>
      </c>
      <c r="D3" s="57" t="s">
        <v>890</v>
      </c>
      <c r="E3" s="57" t="s">
        <v>891</v>
      </c>
      <c r="F3" s="57" t="s">
        <v>892</v>
      </c>
      <c r="G3" s="57" t="s">
        <v>893</v>
      </c>
      <c r="H3" s="57" t="s">
        <v>894</v>
      </c>
      <c r="I3" s="57" t="s">
        <v>895</v>
      </c>
      <c r="J3" s="57" t="s">
        <v>896</v>
      </c>
      <c r="K3" s="57" t="s">
        <v>897</v>
      </c>
      <c r="L3" s="57" t="s">
        <v>898</v>
      </c>
      <c r="M3" s="57" t="s">
        <v>899</v>
      </c>
      <c r="N3" s="57" t="s">
        <v>900</v>
      </c>
      <c r="O3" s="57" t="s">
        <v>901</v>
      </c>
      <c r="P3" s="57" t="s">
        <v>902</v>
      </c>
    </row>
    <row r="4" spans="1:16" ht="27.75" customHeight="1" x14ac:dyDescent="0.3">
      <c r="A4" s="34" t="s">
        <v>277</v>
      </c>
      <c r="B4" s="11" t="s">
        <v>278</v>
      </c>
      <c r="C4" s="12" t="s">
        <v>279</v>
      </c>
      <c r="D4" s="11" t="s">
        <v>278</v>
      </c>
      <c r="E4" s="11" t="s">
        <v>278</v>
      </c>
      <c r="F4" s="11" t="s">
        <v>278</v>
      </c>
      <c r="G4" s="11" t="s">
        <v>278</v>
      </c>
      <c r="H4" s="11" t="s">
        <v>278</v>
      </c>
      <c r="I4" s="11" t="s">
        <v>278</v>
      </c>
      <c r="J4" s="11" t="s">
        <v>278</v>
      </c>
      <c r="K4" s="11" t="s">
        <v>278</v>
      </c>
      <c r="L4" s="11" t="s">
        <v>278</v>
      </c>
      <c r="M4" s="11" t="s">
        <v>278</v>
      </c>
      <c r="N4" s="11" t="s">
        <v>278</v>
      </c>
      <c r="O4" s="34" t="s">
        <v>537</v>
      </c>
      <c r="P4" s="11" t="s">
        <v>278</v>
      </c>
    </row>
    <row r="5" spans="1:16" ht="15" customHeight="1" x14ac:dyDescent="0.3">
      <c r="O5" s="3" t="s">
        <v>903</v>
      </c>
    </row>
    <row r="6" spans="1:16" ht="15" customHeight="1" x14ac:dyDescent="0.3">
      <c r="A6" s="10">
        <v>1</v>
      </c>
      <c r="B6" s="10">
        <v>10</v>
      </c>
      <c r="C6" s="7" t="s">
        <v>874</v>
      </c>
      <c r="D6" s="10">
        <v>10</v>
      </c>
      <c r="E6" s="10">
        <v>10</v>
      </c>
      <c r="F6" s="10">
        <v>10</v>
      </c>
      <c r="G6" s="10">
        <v>10</v>
      </c>
      <c r="H6" s="10">
        <v>10</v>
      </c>
      <c r="I6" s="10">
        <v>10</v>
      </c>
      <c r="J6" s="10">
        <v>10</v>
      </c>
      <c r="K6" s="10">
        <v>10</v>
      </c>
      <c r="L6" s="10">
        <v>10</v>
      </c>
      <c r="M6" s="10">
        <v>10</v>
      </c>
      <c r="N6" s="10"/>
      <c r="O6" s="10">
        <f t="shared" ref="O6:O45" si="0">SUM(D6:M6)</f>
        <v>100</v>
      </c>
      <c r="P6" s="10"/>
    </row>
    <row r="7" spans="1:16" ht="15" customHeight="1" x14ac:dyDescent="0.3">
      <c r="A7" s="10">
        <v>2</v>
      </c>
      <c r="B7" s="10">
        <v>10</v>
      </c>
      <c r="C7" s="7" t="s">
        <v>874</v>
      </c>
      <c r="D7" s="10">
        <v>10</v>
      </c>
      <c r="E7" s="10">
        <v>10</v>
      </c>
      <c r="F7" s="10">
        <v>10</v>
      </c>
      <c r="G7" s="10">
        <v>10</v>
      </c>
      <c r="H7" s="10">
        <v>10</v>
      </c>
      <c r="I7" s="10">
        <v>10</v>
      </c>
      <c r="J7" s="10">
        <v>10</v>
      </c>
      <c r="K7" s="10">
        <v>10</v>
      </c>
      <c r="L7" s="10">
        <v>10</v>
      </c>
      <c r="M7" s="10">
        <v>10</v>
      </c>
      <c r="N7" s="10"/>
      <c r="O7" s="10">
        <f t="shared" si="0"/>
        <v>100</v>
      </c>
      <c r="P7" s="10"/>
    </row>
    <row r="8" spans="1:16" ht="15" customHeight="1" x14ac:dyDescent="0.3">
      <c r="A8" s="10">
        <v>3</v>
      </c>
      <c r="B8" s="10">
        <v>10</v>
      </c>
      <c r="C8" s="7" t="s">
        <v>874</v>
      </c>
      <c r="D8" s="10">
        <v>10</v>
      </c>
      <c r="E8" s="10">
        <v>10</v>
      </c>
      <c r="F8" s="10">
        <v>10</v>
      </c>
      <c r="G8" s="10">
        <v>10</v>
      </c>
      <c r="H8" s="10">
        <v>10</v>
      </c>
      <c r="I8" s="10">
        <v>10</v>
      </c>
      <c r="J8" s="10">
        <v>10</v>
      </c>
      <c r="K8" s="10">
        <v>10</v>
      </c>
      <c r="L8" s="10">
        <v>10</v>
      </c>
      <c r="M8" s="10">
        <v>10</v>
      </c>
      <c r="N8" s="10"/>
      <c r="O8" s="10">
        <f t="shared" si="0"/>
        <v>100</v>
      </c>
      <c r="P8" s="10"/>
    </row>
    <row r="9" spans="1:16" ht="15" customHeight="1" x14ac:dyDescent="0.3">
      <c r="A9" s="10">
        <v>4</v>
      </c>
      <c r="B9" s="10">
        <v>10</v>
      </c>
      <c r="C9" s="7" t="s">
        <v>874</v>
      </c>
      <c r="D9" s="10">
        <v>10</v>
      </c>
      <c r="E9" s="10">
        <v>10</v>
      </c>
      <c r="F9" s="10">
        <v>10</v>
      </c>
      <c r="G9" s="10">
        <v>10</v>
      </c>
      <c r="H9" s="10">
        <v>10</v>
      </c>
      <c r="I9" s="10">
        <v>10</v>
      </c>
      <c r="J9" s="10">
        <v>10</v>
      </c>
      <c r="K9" s="10">
        <v>10</v>
      </c>
      <c r="L9" s="10">
        <v>10</v>
      </c>
      <c r="M9" s="10">
        <v>10</v>
      </c>
      <c r="N9" s="10"/>
      <c r="O9" s="10">
        <f t="shared" si="0"/>
        <v>100</v>
      </c>
      <c r="P9" s="10"/>
    </row>
    <row r="10" spans="1:16" ht="15" customHeight="1" x14ac:dyDescent="0.3">
      <c r="A10" s="10">
        <v>5</v>
      </c>
      <c r="B10" s="10">
        <v>10</v>
      </c>
      <c r="C10" s="7" t="s">
        <v>874</v>
      </c>
      <c r="D10" s="10">
        <v>10</v>
      </c>
      <c r="E10" s="10">
        <v>10</v>
      </c>
      <c r="F10" s="10">
        <v>10</v>
      </c>
      <c r="G10" s="10">
        <v>10</v>
      </c>
      <c r="H10" s="10">
        <v>10</v>
      </c>
      <c r="I10" s="10">
        <v>10</v>
      </c>
      <c r="J10" s="10">
        <v>10</v>
      </c>
      <c r="K10" s="10">
        <v>10</v>
      </c>
      <c r="L10" s="10">
        <v>10</v>
      </c>
      <c r="M10" s="10">
        <v>10</v>
      </c>
      <c r="N10" s="10"/>
      <c r="O10" s="10">
        <f t="shared" si="0"/>
        <v>100</v>
      </c>
      <c r="P10" s="10"/>
    </row>
    <row r="11" spans="1:16" ht="15" customHeight="1" x14ac:dyDescent="0.3">
      <c r="A11" s="10">
        <v>6</v>
      </c>
      <c r="B11" s="10">
        <v>10</v>
      </c>
      <c r="C11" s="7" t="s">
        <v>874</v>
      </c>
      <c r="D11" s="10">
        <v>10</v>
      </c>
      <c r="E11" s="10">
        <v>10</v>
      </c>
      <c r="F11" s="10">
        <v>10</v>
      </c>
      <c r="G11" s="10">
        <v>10</v>
      </c>
      <c r="H11" s="10">
        <v>10</v>
      </c>
      <c r="I11" s="10">
        <v>10</v>
      </c>
      <c r="J11" s="10">
        <v>10</v>
      </c>
      <c r="K11" s="10">
        <v>10</v>
      </c>
      <c r="L11" s="10">
        <v>10</v>
      </c>
      <c r="M11" s="10">
        <v>10</v>
      </c>
      <c r="N11" s="10"/>
      <c r="O11" s="10">
        <f t="shared" si="0"/>
        <v>100</v>
      </c>
      <c r="P11" s="10"/>
    </row>
    <row r="12" spans="1:16" ht="15" customHeight="1" x14ac:dyDescent="0.3">
      <c r="A12" s="10">
        <v>7</v>
      </c>
      <c r="B12" s="10">
        <v>10</v>
      </c>
      <c r="C12" s="7" t="s">
        <v>874</v>
      </c>
      <c r="D12" s="10">
        <v>10</v>
      </c>
      <c r="E12" s="10">
        <v>10</v>
      </c>
      <c r="F12" s="10">
        <v>10</v>
      </c>
      <c r="G12" s="10">
        <v>10</v>
      </c>
      <c r="H12" s="10">
        <v>10</v>
      </c>
      <c r="I12" s="10">
        <v>10</v>
      </c>
      <c r="J12" s="10">
        <v>10</v>
      </c>
      <c r="K12" s="10">
        <v>10</v>
      </c>
      <c r="L12" s="10">
        <v>10</v>
      </c>
      <c r="M12" s="10">
        <v>10</v>
      </c>
      <c r="N12" s="10"/>
      <c r="O12" s="10">
        <f t="shared" si="0"/>
        <v>100</v>
      </c>
      <c r="P12" s="10"/>
    </row>
    <row r="13" spans="1:16" ht="15" customHeight="1" x14ac:dyDescent="0.3">
      <c r="A13" s="10">
        <v>8</v>
      </c>
      <c r="B13" s="10">
        <v>10</v>
      </c>
      <c r="C13" s="7" t="s">
        <v>874</v>
      </c>
      <c r="D13" s="10">
        <v>10</v>
      </c>
      <c r="E13" s="10">
        <v>10</v>
      </c>
      <c r="F13" s="10">
        <v>10</v>
      </c>
      <c r="G13" s="10">
        <v>10</v>
      </c>
      <c r="H13" s="10">
        <v>10</v>
      </c>
      <c r="I13" s="10">
        <v>10</v>
      </c>
      <c r="J13" s="10">
        <v>10</v>
      </c>
      <c r="K13" s="10">
        <v>10</v>
      </c>
      <c r="L13" s="10">
        <v>10</v>
      </c>
      <c r="M13" s="10">
        <v>10</v>
      </c>
      <c r="N13" s="10"/>
      <c r="O13" s="10">
        <f t="shared" si="0"/>
        <v>100</v>
      </c>
      <c r="P13" s="10"/>
    </row>
    <row r="14" spans="1:16" ht="15" customHeight="1" x14ac:dyDescent="0.3">
      <c r="A14" s="10">
        <v>9</v>
      </c>
      <c r="B14" s="10">
        <v>10</v>
      </c>
      <c r="C14" s="7" t="s">
        <v>874</v>
      </c>
      <c r="D14" s="10">
        <v>10</v>
      </c>
      <c r="E14" s="10">
        <v>10</v>
      </c>
      <c r="F14" s="10">
        <v>10</v>
      </c>
      <c r="G14" s="10">
        <v>10</v>
      </c>
      <c r="H14" s="10">
        <v>10</v>
      </c>
      <c r="I14" s="10">
        <v>10</v>
      </c>
      <c r="J14" s="10">
        <v>10</v>
      </c>
      <c r="K14" s="10">
        <v>10</v>
      </c>
      <c r="L14" s="10">
        <v>10</v>
      </c>
      <c r="M14" s="10">
        <v>10</v>
      </c>
      <c r="N14" s="10"/>
      <c r="O14" s="10">
        <f t="shared" si="0"/>
        <v>100</v>
      </c>
      <c r="P14" s="10"/>
    </row>
    <row r="15" spans="1:16" ht="15" customHeight="1" x14ac:dyDescent="0.3">
      <c r="A15" s="10"/>
      <c r="B15" s="10"/>
      <c r="C15" s="7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15" customHeight="1" x14ac:dyDescent="0.3">
      <c r="A16" s="10"/>
      <c r="B16" s="10"/>
      <c r="C16" s="7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ht="15" customHeight="1" x14ac:dyDescent="0.3">
      <c r="A17" s="10"/>
      <c r="B17" s="10"/>
      <c r="C17" s="7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ht="15" customHeight="1" x14ac:dyDescent="0.3">
      <c r="A18" s="10"/>
      <c r="B18" s="10"/>
      <c r="C18" s="7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15" customHeight="1" x14ac:dyDescent="0.3">
      <c r="A19" s="10"/>
      <c r="B19" s="10"/>
      <c r="C19" s="7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ht="15" customHeight="1" x14ac:dyDescent="0.3">
      <c r="A20" s="10"/>
      <c r="B20" s="10"/>
      <c r="C20" s="7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15" customHeight="1" x14ac:dyDescent="0.3">
      <c r="A21" s="10"/>
      <c r="B21" s="10"/>
      <c r="C21" s="7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ht="15" customHeight="1" x14ac:dyDescent="0.3">
      <c r="A22" s="10"/>
      <c r="B22" s="10"/>
      <c r="C22" s="7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ht="15" customHeight="1" x14ac:dyDescent="0.3">
      <c r="A23" s="10"/>
      <c r="B23" s="10"/>
      <c r="C23" s="7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ht="15" customHeight="1" x14ac:dyDescent="0.3">
      <c r="A24" s="10"/>
      <c r="B24" s="10"/>
      <c r="C24" s="7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15" customHeight="1" x14ac:dyDescent="0.3">
      <c r="A25" s="10"/>
      <c r="B25" s="10"/>
      <c r="C25" s="7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15" customHeight="1" x14ac:dyDescent="0.3">
      <c r="A26" s="10"/>
      <c r="B26" s="10"/>
      <c r="C26" s="7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5" customHeight="1" x14ac:dyDescent="0.3">
      <c r="A27" s="10"/>
      <c r="B27" s="10"/>
      <c r="C27" s="7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15" customHeight="1" x14ac:dyDescent="0.3">
      <c r="A28" s="10"/>
      <c r="B28" s="10"/>
      <c r="C28" s="7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15" customHeight="1" x14ac:dyDescent="0.3">
      <c r="A29" s="10"/>
      <c r="B29" s="10"/>
      <c r="C29" s="7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15" customHeight="1" x14ac:dyDescent="0.3">
      <c r="A30" s="10"/>
      <c r="B30" s="10"/>
      <c r="C30" s="7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15" customHeight="1" x14ac:dyDescent="0.3">
      <c r="A31" s="10"/>
      <c r="B31" s="10"/>
      <c r="C31" s="7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ht="15" customHeight="1" x14ac:dyDescent="0.3">
      <c r="A32" s="10"/>
      <c r="B32" s="10"/>
      <c r="C32" s="7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ht="15" customHeight="1" x14ac:dyDescent="0.3">
      <c r="A33" s="10"/>
      <c r="B33" s="10"/>
      <c r="C33" s="7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ht="15" customHeight="1" x14ac:dyDescent="0.3">
      <c r="A34" s="10"/>
      <c r="B34" s="10"/>
      <c r="C34" s="7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15" customHeight="1" x14ac:dyDescent="0.3">
      <c r="A35" s="10"/>
      <c r="B35" s="10"/>
      <c r="C35" s="7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ht="15" customHeight="1" x14ac:dyDescent="0.3">
      <c r="A36" s="10"/>
      <c r="B36" s="10"/>
      <c r="C36" s="7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15" customHeight="1" x14ac:dyDescent="0.3">
      <c r="A37" s="10"/>
      <c r="B37" s="10"/>
      <c r="C37" s="7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ht="15" customHeight="1" x14ac:dyDescent="0.3">
      <c r="A38" s="10"/>
      <c r="B38" s="10"/>
      <c r="C38" s="7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15" customHeight="1" x14ac:dyDescent="0.3">
      <c r="A39" s="10"/>
      <c r="B39" s="10"/>
      <c r="C39" s="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15" customHeight="1" x14ac:dyDescent="0.3">
      <c r="A40" s="10"/>
      <c r="B40" s="10"/>
      <c r="C40" s="7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ht="15" customHeight="1" x14ac:dyDescent="0.3">
      <c r="A41" s="10"/>
      <c r="B41" s="10"/>
      <c r="C41" s="7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ht="15" customHeight="1" x14ac:dyDescent="0.3">
      <c r="A42" s="10"/>
      <c r="B42" s="10"/>
      <c r="C42" s="7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ht="15" customHeight="1" x14ac:dyDescent="0.3">
      <c r="A43" s="10"/>
      <c r="B43" s="10"/>
      <c r="C43" s="7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ht="15" customHeight="1" x14ac:dyDescent="0.3">
      <c r="A44" s="10"/>
      <c r="B44" s="10"/>
      <c r="C44" s="7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ht="15" customHeight="1" x14ac:dyDescent="0.3">
      <c r="A45" s="10"/>
      <c r="B45" s="10"/>
      <c r="C45" s="7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ht="15" customHeight="1" x14ac:dyDescent="0.3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</row>
  </sheetData>
  <mergeCells count="2">
    <mergeCell ref="D2:M2"/>
    <mergeCell ref="E1:J1"/>
  </mergeCells>
  <dataValidations count="1">
    <dataValidation type="list" allowBlank="1" sqref="C6:C45" xr:uid="{00000000-0002-0000-2100-000001000000}">
      <formula1>L_ColorCode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O11"/>
  <sheetViews>
    <sheetView showGridLines="0" topLeftCell="C1" zoomScaleNormal="100" workbookViewId="0">
      <pane ySplit="6" topLeftCell="A7" activePane="bottomLeft" state="frozen"/>
      <selection pane="bottomLeft" activeCell="C12" sqref="A12:XFD13"/>
    </sheetView>
  </sheetViews>
  <sheetFormatPr defaultColWidth="8.5546875" defaultRowHeight="14.4" x14ac:dyDescent="0.3"/>
  <cols>
    <col min="1" max="8" width="28" customWidth="1"/>
    <col min="9" max="13" width="21" customWidth="1"/>
  </cols>
  <sheetData>
    <row r="1" spans="1:15" ht="21" customHeight="1" x14ac:dyDescent="0.3">
      <c r="A1" s="4" t="s">
        <v>904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15" ht="21" customHeight="1" x14ac:dyDescent="0.3">
      <c r="A2" s="2"/>
      <c r="C2" s="118" t="s">
        <v>905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1:15" ht="12" customHeight="1" x14ac:dyDescent="0.3"/>
    <row r="4" spans="1:15" ht="30" customHeight="1" x14ac:dyDescent="0.3">
      <c r="A4" s="5" t="s">
        <v>519</v>
      </c>
      <c r="B4" s="5" t="s">
        <v>487</v>
      </c>
      <c r="C4" s="5" t="s">
        <v>424</v>
      </c>
      <c r="D4" s="5" t="s">
        <v>518</v>
      </c>
      <c r="E4" s="5" t="s">
        <v>906</v>
      </c>
      <c r="F4" s="5" t="s">
        <v>907</v>
      </c>
      <c r="G4" s="5" t="s">
        <v>908</v>
      </c>
      <c r="H4" s="5" t="s">
        <v>275</v>
      </c>
      <c r="I4" s="5" t="s">
        <v>909</v>
      </c>
      <c r="J4" s="5" t="s">
        <v>910</v>
      </c>
      <c r="K4" s="5" t="s">
        <v>266</v>
      </c>
      <c r="L4" s="5" t="s">
        <v>356</v>
      </c>
    </row>
    <row r="5" spans="1:15" ht="14.25" customHeight="1" x14ac:dyDescent="0.3">
      <c r="A5" s="34" t="s">
        <v>277</v>
      </c>
      <c r="B5" s="12" t="s">
        <v>279</v>
      </c>
      <c r="C5" s="34" t="s">
        <v>537</v>
      </c>
      <c r="D5" s="34" t="s">
        <v>537</v>
      </c>
      <c r="E5" s="11" t="s">
        <v>278</v>
      </c>
      <c r="F5" s="34" t="s">
        <v>277</v>
      </c>
      <c r="G5" s="34" t="s">
        <v>277</v>
      </c>
      <c r="H5" s="12" t="s">
        <v>279</v>
      </c>
      <c r="I5" s="11" t="s">
        <v>278</v>
      </c>
      <c r="J5" s="11" t="s">
        <v>278</v>
      </c>
      <c r="K5" s="12" t="s">
        <v>279</v>
      </c>
      <c r="L5" s="11" t="s">
        <v>357</v>
      </c>
    </row>
    <row r="6" spans="1:15" s="155" customFormat="1" ht="28.5" customHeight="1" x14ac:dyDescent="0.3">
      <c r="C6" s="156" t="s">
        <v>911</v>
      </c>
      <c r="D6" s="157" t="s">
        <v>720</v>
      </c>
      <c r="F6" s="158" t="s">
        <v>912</v>
      </c>
      <c r="G6" s="158" t="s">
        <v>912</v>
      </c>
      <c r="K6" s="158" t="s">
        <v>913</v>
      </c>
    </row>
    <row r="7" spans="1:15" ht="14.25" customHeight="1" x14ac:dyDescent="0.3">
      <c r="A7" s="24">
        <v>46263</v>
      </c>
      <c r="B7" s="7" t="s">
        <v>498</v>
      </c>
      <c r="C7" s="43" t="str">
        <f>IFERROR(INDEX(Order!$D$7:$D$500,MATCH($B7,Order!$A$7:$A$500,0)),"")</f>
        <v>Trade Word</v>
      </c>
      <c r="D7" s="43" t="str">
        <f>IFERROR(INDEX(Planning!$F$7:$F$500,MATCH($B7,Planning!$A$7:$A$500,0)),"")</f>
        <v>CN-91</v>
      </c>
      <c r="E7" s="7" t="s">
        <v>914</v>
      </c>
      <c r="F7" s="14">
        <v>103</v>
      </c>
      <c r="G7" s="14">
        <v>4780</v>
      </c>
      <c r="H7" s="7" t="s">
        <v>48</v>
      </c>
      <c r="I7" s="7" t="s">
        <v>915</v>
      </c>
      <c r="J7" s="24">
        <v>46293</v>
      </c>
      <c r="K7" s="7" t="s">
        <v>111</v>
      </c>
      <c r="L7" s="7" t="s">
        <v>916</v>
      </c>
    </row>
    <row r="8" spans="1:15" ht="14.25" customHeight="1" x14ac:dyDescent="0.3">
      <c r="A8" s="24">
        <v>46265</v>
      </c>
      <c r="B8" s="7" t="s">
        <v>502</v>
      </c>
      <c r="C8" s="43" t="str">
        <f>IFERROR(INDEX(Order!$D$7:$D$500,MATCH($B8,Order!$A$7:$A$500,0)),"")</f>
        <v>Trade Word</v>
      </c>
      <c r="D8" s="43" t="str">
        <f>IFERROR(INDEX(Planning!$F$7:$F$500,MATCH($B8,Planning!$A$7:$A$500,0)),"")</f>
        <v>CN-92</v>
      </c>
      <c r="E8" s="7" t="s">
        <v>917</v>
      </c>
      <c r="F8" s="14">
        <v>141</v>
      </c>
      <c r="G8" s="14">
        <v>6620</v>
      </c>
      <c r="H8" s="7" t="s">
        <v>48</v>
      </c>
      <c r="I8" s="7" t="s">
        <v>918</v>
      </c>
      <c r="J8" s="24">
        <v>46295</v>
      </c>
      <c r="K8" s="7" t="s">
        <v>111</v>
      </c>
      <c r="L8" s="7"/>
    </row>
    <row r="9" spans="1:15" ht="14.25" customHeight="1" x14ac:dyDescent="0.3">
      <c r="A9" s="24">
        <v>46267</v>
      </c>
      <c r="B9" s="7" t="s">
        <v>503</v>
      </c>
      <c r="C9" s="43" t="str">
        <f>IFERROR(INDEX(Order!$D$7:$D$500,MATCH($B9,Order!$A$7:$A$500,0)),"")</f>
        <v>Global Bags Ltd</v>
      </c>
      <c r="D9" s="43" t="str">
        <f>IFERROR(INDEX(Planning!$F$7:$F$500,MATCH($B9,Planning!$A$7:$A$500,0)),"")</f>
        <v>CN-93</v>
      </c>
      <c r="E9" s="7" t="s">
        <v>919</v>
      </c>
      <c r="F9" s="14">
        <v>66</v>
      </c>
      <c r="G9" s="14">
        <v>1660</v>
      </c>
      <c r="H9" s="7" t="s">
        <v>48</v>
      </c>
      <c r="I9" s="7" t="s">
        <v>920</v>
      </c>
      <c r="J9" s="24">
        <v>46299</v>
      </c>
      <c r="K9" s="7" t="s">
        <v>143</v>
      </c>
      <c r="L9" s="7" t="s">
        <v>921</v>
      </c>
    </row>
    <row r="10" spans="1:15" ht="14.25" customHeight="1" x14ac:dyDescent="0.3">
      <c r="A10" s="24">
        <v>46270</v>
      </c>
      <c r="B10" s="7" t="s">
        <v>507</v>
      </c>
      <c r="C10" s="43" t="str">
        <f>IFERROR(INDEX(Order!$D$7:$D$500,MATCH($B10,Order!$A$7:$A$500,0)),"")</f>
        <v>EcoCarry BV</v>
      </c>
      <c r="D10" s="43" t="str">
        <f>IFERROR(INDEX(Planning!$F$7:$F$500,MATCH($B10,Planning!$A$7:$A$500,0)),"")</f>
        <v>CN-94</v>
      </c>
      <c r="E10" s="7" t="s">
        <v>922</v>
      </c>
      <c r="F10" s="14">
        <v>179</v>
      </c>
      <c r="G10" s="14">
        <v>4480</v>
      </c>
      <c r="H10" s="7" t="s">
        <v>48</v>
      </c>
      <c r="I10" s="7" t="s">
        <v>923</v>
      </c>
      <c r="J10" s="24">
        <v>46304</v>
      </c>
      <c r="K10" s="7" t="s">
        <v>68</v>
      </c>
      <c r="L10" s="7" t="s">
        <v>924</v>
      </c>
    </row>
    <row r="11" spans="1:15" ht="14.25" customHeight="1" x14ac:dyDescent="0.3">
      <c r="A11" s="24">
        <v>46273</v>
      </c>
      <c r="B11" s="7" t="s">
        <v>510</v>
      </c>
      <c r="C11" s="43" t="str">
        <f>IFERROR(INDEX(Order!$D$7:$D$500,MATCH($B11,Order!$A$7:$A$500,0)),"")</f>
        <v>Urban Tote Inc</v>
      </c>
      <c r="D11" s="43" t="str">
        <f>IFERROR(INDEX(Planning!$F$7:$F$500,MATCH($B11,Planning!$A$7:$A$500,0)),"")</f>
        <v>CN-95</v>
      </c>
      <c r="E11" s="7" t="s">
        <v>925</v>
      </c>
      <c r="F11" s="14">
        <v>109</v>
      </c>
      <c r="G11" s="14">
        <v>2720</v>
      </c>
      <c r="H11" s="7" t="s">
        <v>85</v>
      </c>
      <c r="I11" s="7" t="s">
        <v>926</v>
      </c>
      <c r="J11" s="24">
        <v>46279</v>
      </c>
      <c r="K11" s="7" t="s">
        <v>68</v>
      </c>
      <c r="L11" s="7" t="s">
        <v>927</v>
      </c>
    </row>
  </sheetData>
  <mergeCells count="2">
    <mergeCell ref="C1:O1"/>
    <mergeCell ref="C2:O2"/>
  </mergeCells>
  <dataValidations count="5">
    <dataValidation type="list" allowBlank="1" errorTitle="Not in master" error="Value must be chosen from the master list." promptTitle="Master-driven list" prompt="Select from M_BuyerName" sqref="C7:C498" xr:uid="{00000000-0002-0000-2200-000000000000}">
      <formula1>M_BuyerName</formula1>
      <formula2>0</formula2>
    </dataValidation>
    <dataValidation type="list" allowBlank="1" errorTitle="Not in master" error="Value must be chosen from the master list." promptTitle="Master-driven list" prompt="Select from L_ContainerNo" sqref="D7:D498" xr:uid="{00000000-0002-0000-2200-000001000000}">
      <formula1>L_ContainerNo</formula1>
      <formula2>0</formula2>
    </dataValidation>
    <dataValidation type="list" allowBlank="1" errorTitle="Not in master" error="Value must be chosen from the master list." promptTitle="Master-driven list" prompt="Select from L_ShipMode" sqref="H7:H498" xr:uid="{00000000-0002-0000-2200-000002000000}">
      <formula1>L_ShipMode</formula1>
      <formula2>0</formula2>
    </dataValidation>
    <dataValidation type="list" allowBlank="1" errorTitle="Not in master" error="Value must be chosen from the master list." promptTitle="Master-driven list" prompt="Select from L_StatusDispatch" sqref="K7:K498" xr:uid="{00000000-0002-0000-2200-000003000000}">
      <formula1>L_StatusDispatch</formula1>
      <formula2>0</formula2>
    </dataValidation>
    <dataValidation type="list" allowBlank="1" sqref="B7:B498" xr:uid="{00000000-0002-0000-2200-000004000000}">
      <formula1>M_OrderNo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M13"/>
  <sheetViews>
    <sheetView showGridLines="0" topLeftCell="A2" zoomScale="104" zoomScaleNormal="104" workbookViewId="0">
      <pane ySplit="6" topLeftCell="A8" activePane="bottomLeft" state="frozen"/>
      <selection activeCell="D2" sqref="D2"/>
      <selection pane="bottomLeft" activeCell="J6" sqref="J6"/>
    </sheetView>
  </sheetViews>
  <sheetFormatPr defaultColWidth="8.5546875" defaultRowHeight="14.4" x14ac:dyDescent="0.3"/>
  <cols>
    <col min="1" max="2" width="32" customWidth="1"/>
    <col min="3" max="3" width="20" customWidth="1"/>
    <col min="4" max="4" width="23" customWidth="1"/>
    <col min="5" max="10" width="19" customWidth="1"/>
    <col min="11" max="11" width="31.6640625" bestFit="1" customWidth="1"/>
  </cols>
  <sheetData>
    <row r="1" spans="1:13" ht="21" customHeight="1" x14ac:dyDescent="0.3">
      <c r="A1" s="4" t="s">
        <v>928</v>
      </c>
      <c r="C1" s="116" t="s">
        <v>1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21" customHeight="1" x14ac:dyDescent="0.3">
      <c r="A2" s="2"/>
      <c r="C2" s="118" t="s">
        <v>929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 ht="12" customHeight="1" x14ac:dyDescent="0.3"/>
    <row r="4" spans="1:13" ht="30" customHeight="1" x14ac:dyDescent="0.3">
      <c r="A4" s="5" t="s">
        <v>487</v>
      </c>
      <c r="B4" s="5" t="s">
        <v>422</v>
      </c>
      <c r="C4" s="5" t="s">
        <v>718</v>
      </c>
      <c r="D4" s="5" t="s">
        <v>930</v>
      </c>
      <c r="E4" s="5" t="s">
        <v>931</v>
      </c>
      <c r="F4" s="5" t="s">
        <v>932</v>
      </c>
      <c r="G4" s="5" t="s">
        <v>933</v>
      </c>
      <c r="H4" s="5" t="s">
        <v>934</v>
      </c>
      <c r="I4" s="5" t="s">
        <v>935</v>
      </c>
      <c r="J4" s="5" t="s">
        <v>266</v>
      </c>
      <c r="K4" s="5" t="s">
        <v>356</v>
      </c>
    </row>
    <row r="5" spans="1:13" ht="14.25" customHeight="1" x14ac:dyDescent="0.3">
      <c r="A5" s="12" t="s">
        <v>279</v>
      </c>
      <c r="B5" s="12" t="s">
        <v>279</v>
      </c>
      <c r="C5" s="34" t="s">
        <v>277</v>
      </c>
      <c r="D5" s="34" t="s">
        <v>277</v>
      </c>
      <c r="E5" s="34" t="s">
        <v>277</v>
      </c>
      <c r="F5" s="34" t="s">
        <v>277</v>
      </c>
      <c r="G5" s="34" t="s">
        <v>277</v>
      </c>
      <c r="H5" s="34" t="s">
        <v>277</v>
      </c>
      <c r="I5" s="34" t="s">
        <v>537</v>
      </c>
      <c r="J5" s="12" t="s">
        <v>277</v>
      </c>
      <c r="K5" s="11" t="s">
        <v>357</v>
      </c>
    </row>
    <row r="6" spans="1:13" ht="57" customHeight="1" x14ac:dyDescent="0.3">
      <c r="C6" s="35" t="s">
        <v>936</v>
      </c>
      <c r="D6" s="35" t="s">
        <v>937</v>
      </c>
      <c r="E6" s="35" t="s">
        <v>938</v>
      </c>
      <c r="F6" s="35" t="s">
        <v>939</v>
      </c>
      <c r="G6" s="35" t="s">
        <v>940</v>
      </c>
      <c r="H6" s="35" t="s">
        <v>912</v>
      </c>
      <c r="I6" s="35" t="s">
        <v>941</v>
      </c>
      <c r="J6" s="35" t="s">
        <v>942</v>
      </c>
    </row>
    <row r="7" spans="1:13" ht="14.25" customHeight="1" x14ac:dyDescent="0.3">
      <c r="A7" s="7" t="s">
        <v>498</v>
      </c>
      <c r="B7" s="7" t="s">
        <v>430</v>
      </c>
      <c r="C7" s="14">
        <v>5000</v>
      </c>
      <c r="D7" s="14">
        <v>4830</v>
      </c>
      <c r="E7" s="14">
        <v>190</v>
      </c>
      <c r="F7" s="14">
        <v>56</v>
      </c>
      <c r="G7" s="14">
        <v>60</v>
      </c>
      <c r="H7" s="14">
        <v>4780</v>
      </c>
      <c r="I7" s="44">
        <f t="shared" ref="I7:I13" si="0">C7-D7-F7-G7</f>
        <v>54</v>
      </c>
      <c r="J7" s="44" t="s">
        <v>112</v>
      </c>
      <c r="K7" s="64" t="s">
        <v>943</v>
      </c>
    </row>
    <row r="8" spans="1:13" ht="14.25" customHeight="1" x14ac:dyDescent="0.3">
      <c r="A8" s="7" t="s">
        <v>502</v>
      </c>
      <c r="B8" s="7" t="s">
        <v>434</v>
      </c>
      <c r="C8" s="14">
        <v>7000</v>
      </c>
      <c r="D8" s="14">
        <v>6730</v>
      </c>
      <c r="E8" s="14">
        <v>225</v>
      </c>
      <c r="F8" s="14">
        <v>89</v>
      </c>
      <c r="G8" s="14">
        <v>100</v>
      </c>
      <c r="H8" s="14">
        <v>6620</v>
      </c>
      <c r="I8" s="44">
        <f t="shared" si="0"/>
        <v>81</v>
      </c>
      <c r="J8" s="44" t="s">
        <v>112</v>
      </c>
      <c r="K8" s="64" t="s">
        <v>944</v>
      </c>
    </row>
    <row r="9" spans="1:13" ht="14.25" customHeight="1" x14ac:dyDescent="0.3">
      <c r="A9" s="7" t="s">
        <v>503</v>
      </c>
      <c r="B9" s="7" t="s">
        <v>437</v>
      </c>
      <c r="C9" s="14">
        <v>2000</v>
      </c>
      <c r="D9" s="14">
        <v>1860</v>
      </c>
      <c r="E9" s="14">
        <v>110</v>
      </c>
      <c r="F9" s="14">
        <v>42</v>
      </c>
      <c r="G9" s="14">
        <v>50</v>
      </c>
      <c r="H9" s="14">
        <v>1660</v>
      </c>
      <c r="I9" s="44">
        <f t="shared" si="0"/>
        <v>48</v>
      </c>
      <c r="J9" s="44" t="s">
        <v>112</v>
      </c>
      <c r="K9" s="64" t="s">
        <v>945</v>
      </c>
    </row>
    <row r="10" spans="1:13" ht="14.25" customHeight="1" x14ac:dyDescent="0.3">
      <c r="A10" s="7" t="s">
        <v>507</v>
      </c>
      <c r="B10" s="7" t="s">
        <v>441</v>
      </c>
      <c r="C10" s="14">
        <v>5000</v>
      </c>
      <c r="D10" s="14">
        <v>4780</v>
      </c>
      <c r="E10" s="14">
        <v>140</v>
      </c>
      <c r="F10" s="14">
        <v>60</v>
      </c>
      <c r="G10" s="14">
        <v>80</v>
      </c>
      <c r="H10" s="14">
        <v>4480</v>
      </c>
      <c r="I10" s="44">
        <f t="shared" si="0"/>
        <v>80</v>
      </c>
      <c r="J10" s="44" t="s">
        <v>112</v>
      </c>
      <c r="K10" s="64" t="s">
        <v>946</v>
      </c>
    </row>
    <row r="11" spans="1:13" ht="14.25" customHeight="1" x14ac:dyDescent="0.3">
      <c r="A11" s="7" t="s">
        <v>510</v>
      </c>
      <c r="B11" s="7" t="s">
        <v>448</v>
      </c>
      <c r="C11" s="14">
        <v>3000</v>
      </c>
      <c r="D11" s="14">
        <v>2890</v>
      </c>
      <c r="E11" s="14">
        <v>85</v>
      </c>
      <c r="F11" s="14">
        <v>31</v>
      </c>
      <c r="G11" s="14">
        <v>40</v>
      </c>
      <c r="H11" s="14">
        <v>2720</v>
      </c>
      <c r="I11" s="44">
        <f t="shared" si="0"/>
        <v>39</v>
      </c>
      <c r="J11" s="44" t="s">
        <v>112</v>
      </c>
      <c r="K11" s="64" t="s">
        <v>947</v>
      </c>
    </row>
    <row r="12" spans="1:13" ht="14.25" customHeight="1" x14ac:dyDescent="0.3">
      <c r="A12" s="7" t="s">
        <v>513</v>
      </c>
      <c r="B12" s="7" t="s">
        <v>452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44">
        <f t="shared" si="0"/>
        <v>0</v>
      </c>
      <c r="J12" s="44" t="s">
        <v>76</v>
      </c>
      <c r="K12" s="64" t="s">
        <v>948</v>
      </c>
    </row>
    <row r="13" spans="1:13" ht="14.25" customHeight="1" x14ac:dyDescent="0.3">
      <c r="A13" s="7" t="s">
        <v>516</v>
      </c>
      <c r="B13" s="7" t="s">
        <v>445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44">
        <f t="shared" si="0"/>
        <v>0</v>
      </c>
      <c r="J13" s="44" t="s">
        <v>76</v>
      </c>
      <c r="K13" s="64" t="s">
        <v>948</v>
      </c>
    </row>
  </sheetData>
  <mergeCells count="2">
    <mergeCell ref="C1:M1"/>
    <mergeCell ref="C2:M2"/>
  </mergeCells>
  <dataValidations count="3">
    <dataValidation type="list" allowBlank="1" errorTitle="Not in master" error="Value must be chosen from the master list." promptTitle="Master-driven list" prompt="Select from M_OrderNo" sqref="A7:A500" xr:uid="{00000000-0002-0000-2300-000000000000}">
      <formula1>M_OrderNo</formula1>
      <formula2>0</formula2>
    </dataValidation>
    <dataValidation type="list" allowBlank="1" errorTitle="Not in master" error="Value must be chosen from the master list." promptTitle="Master-driven list" prompt="Select from M_StyleNo" sqref="B7:B500" xr:uid="{00000000-0002-0000-2300-000001000000}">
      <formula1>M_StyleNo</formula1>
      <formula2>0</formula2>
    </dataValidation>
    <dataValidation type="list" allowBlank="1" errorTitle="Not in master" error="Value must be chosen from the master list." promptTitle="Master-driven list" prompt="Select from L_StatusRecon" sqref="J7:J500" xr:uid="{00000000-0002-0000-2300-000002000000}">
      <formula1>L_StatusRecon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Master Lists</vt:lpstr>
      <vt:lpstr>Buyer Master</vt:lpstr>
      <vt:lpstr>Vendor Master</vt:lpstr>
      <vt:lpstr>Employee Master</vt:lpstr>
      <vt:lpstr>Style Master</vt:lpstr>
      <vt:lpstr>Order</vt:lpstr>
      <vt:lpstr>Planning_</vt:lpstr>
      <vt:lpstr>Planning</vt:lpstr>
      <vt:lpstr>Vendor Quotation-Approval</vt:lpstr>
      <vt:lpstr>PO</vt:lpstr>
      <vt:lpstr>Gate Pass</vt:lpstr>
      <vt:lpstr>GRN</vt:lpstr>
      <vt:lpstr>Fabric Issue</vt:lpstr>
      <vt:lpstr>Dye issue</vt:lpstr>
      <vt:lpstr>Fabric Scrutiny Report</vt:lpstr>
      <vt:lpstr>Printing</vt:lpstr>
      <vt:lpstr> Plan Approval</vt:lpstr>
      <vt:lpstr>Cutting Issue</vt:lpstr>
      <vt:lpstr>Stiching Record</vt:lpstr>
      <vt:lpstr>Hourly Monitoring</vt:lpstr>
      <vt:lpstr>QC Size</vt:lpstr>
      <vt:lpstr>QC Defects</vt:lpstr>
      <vt:lpstr>Internal Quality Check</vt:lpstr>
      <vt:lpstr>Internal Checker Report</vt:lpstr>
      <vt:lpstr>Finished Checker</vt:lpstr>
      <vt:lpstr>External Secondary Checking</vt:lpstr>
      <vt:lpstr>Alter Report</vt:lpstr>
      <vt:lpstr>Spot Rectification-Scrap</vt:lpstr>
      <vt:lpstr>Rejected</vt:lpstr>
      <vt:lpstr>Packing</vt:lpstr>
      <vt:lpstr>Needle Checking</vt:lpstr>
      <vt:lpstr>Dispatch</vt:lpstr>
      <vt:lpstr>Reconciliation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O MITTAL AND ASSOCIATES</dc:creator>
  <dc:description/>
  <cp:lastModifiedBy>A O MITTAL AND ASSOCIATES</cp:lastModifiedBy>
  <cp:revision>0</cp:revision>
  <dcterms:created xsi:type="dcterms:W3CDTF">2026-07-15T11:37:02Z</dcterms:created>
  <dcterms:modified xsi:type="dcterms:W3CDTF">2026-08-24T10:42:28Z</dcterms:modified>
  <dc:language>en-US</dc:language>
</cp:coreProperties>
</file>